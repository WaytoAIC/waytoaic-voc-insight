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打标明细" sheetId="1" state="visible" r:id="rId1"/>
    <sheet xmlns:r="http://schemas.openxmlformats.org/officeDocument/2006/relationships" name="哪件事提得多满不满意" sheetId="2" state="visible" r:id="rId2"/>
    <sheet xmlns:r="http://schemas.openxmlformats.org/officeDocument/2006/relationships" name="差评最多的事" sheetId="3" state="visible" r:id="rId3"/>
    <sheet xmlns:r="http://schemas.openxmlformats.org/officeDocument/2006/relationships" name="交叉分析" sheetId="4" state="visible" r:id="rId4"/>
    <sheet xmlns:r="http://schemas.openxmlformats.org/officeDocument/2006/relationships" name="按月走势" sheetId="5" state="visible" r:id="rId5"/>
    <sheet xmlns:r="http://schemas.openxmlformats.org/officeDocument/2006/relationships" name="再问一层" sheetId="6" state="visible" r:id="rId6"/>
    <sheet xmlns:r="http://schemas.openxmlformats.org/officeDocument/2006/relationships" name="结论对原话" sheetId="7" state="visible" r:id="rId7"/>
    <sheet xmlns:r="http://schemas.openxmlformats.org/officeDocument/2006/relationships" name="说明与口径" sheetId="8" state="visible" r:id="rId8"/>
  </sheets>
  <definedNames>
    <definedName name="_xlnm._FilterDatabase" localSheetId="0" hidden="1">'打标明细'!$A$1:$X$93</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0"/>
    </font>
    <font>
      <name val="Arial"/>
      <sz val="10"/>
    </font>
    <font>
      <name val="Arial"/>
      <b val="1"/>
      <color rgb="001F3864"/>
      <sz val="13"/>
    </font>
    <font>
      <name val="Arial"/>
      <i val="1"/>
      <color rgb="00808080"/>
      <sz val="9"/>
    </font>
    <font>
      <name val="Arial"/>
      <b val="1"/>
      <color rgb="001F3864"/>
      <sz val="11"/>
    </font>
    <font>
      <name val="Arial"/>
      <b val="1"/>
      <color rgb="001F3864"/>
      <sz val="14"/>
    </font>
    <font>
      <name val="Arial"/>
      <b val="1"/>
      <color rgb="001F3864"/>
      <sz val="10"/>
    </font>
    <font>
      <name val="Arial"/>
      <color rgb="00000000"/>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2" fillId="0" borderId="1" applyAlignment="1" pivotButton="0" quotePrefix="0" xfId="0">
      <alignment vertical="top"/>
    </xf>
    <xf numFmtId="164" fontId="2" fillId="0" borderId="1" applyAlignment="1" pivotButton="0" quotePrefix="0" xfId="0">
      <alignment vertical="top"/>
    </xf>
    <xf numFmtId="0" fontId="5" fillId="4" borderId="0" pivotButton="0" quotePrefix="0" xfId="0"/>
    <xf numFmtId="2" fontId="2" fillId="0" borderId="1" applyAlignment="1" pivotButton="0" quotePrefix="0" xfId="0">
      <alignment vertical="top"/>
    </xf>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 customWidth="1" min="3" max="3"/>
    <col width="7"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60" customWidth="1" min="14" max="14"/>
    <col width="14" customWidth="1" min="15" max="15"/>
    <col width="14" customWidth="1" min="16" max="16"/>
    <col width="28" customWidth="1" min="17" max="17"/>
    <col width="28" customWidth="1" min="18" max="18"/>
    <col width="14" customWidth="1" min="19" max="19"/>
    <col width="14" customWidth="1" min="20" max="20"/>
    <col width="34" customWidth="1" min="21" max="21"/>
    <col width="14" customWidth="1" min="22" max="22"/>
    <col width="14" customWidth="1" min="23" max="23"/>
    <col width="14" customWidth="1" min="24" max="24"/>
  </cols>
  <sheetData>
    <row r="1">
      <c r="A1" s="1" t="inlineStr">
        <is>
          <t>序号</t>
        </is>
      </c>
      <c r="B1" s="1" t="inlineStr">
        <is>
          <t>记录编号</t>
        </is>
      </c>
      <c r="C1" s="1" t="inlineStr">
        <is>
          <t>星级</t>
        </is>
      </c>
      <c r="D1" s="1" t="inlineStr">
        <is>
          <t>站点</t>
        </is>
      </c>
      <c r="E1" s="1" t="inlineStr">
        <is>
          <t>品名</t>
        </is>
      </c>
      <c r="F1" s="1" t="inlineStr">
        <is>
          <t>产品</t>
        </is>
      </c>
      <c r="G1" s="1" t="inlineStr">
        <is>
          <t>规格</t>
        </is>
      </c>
      <c r="H1" s="1" t="inlineStr">
        <is>
          <t>适配机型</t>
        </is>
      </c>
      <c r="I1" s="1" t="inlineStr">
        <is>
          <t>高度档</t>
        </is>
      </c>
      <c r="J1" s="1" t="inlineStr">
        <is>
          <t>日期</t>
        </is>
      </c>
      <c r="K1" s="1" t="inlineStr">
        <is>
          <t>月份</t>
        </is>
      </c>
      <c r="L1" s="1" t="inlineStr">
        <is>
          <t>疑似不可信</t>
        </is>
      </c>
      <c r="M1" s="1" t="inlineStr">
        <is>
          <t>疑似原因</t>
        </is>
      </c>
      <c r="N1" s="1" t="inlineStr">
        <is>
          <t>原话</t>
        </is>
      </c>
      <c r="O1" s="1" t="inlineStr">
        <is>
          <t>谁在说</t>
        </is>
      </c>
      <c r="P1" s="1" t="inlineStr">
        <is>
          <t>什么情况下</t>
        </is>
      </c>
      <c r="Q1" s="1" t="inlineStr">
        <is>
          <t>好评的事</t>
        </is>
      </c>
      <c r="R1" s="1" t="inlineStr">
        <is>
          <t>差评的事</t>
        </is>
      </c>
      <c r="S1" s="1" t="inlineStr">
        <is>
          <t>落差指向</t>
        </is>
      </c>
      <c r="T1" s="1" t="inlineStr">
        <is>
          <t>过程感受</t>
        </is>
      </c>
      <c r="U1" s="1" t="inlineStr">
        <is>
          <t>再问一层</t>
        </is>
      </c>
      <c r="V1" s="1" t="inlineStr">
        <is>
          <t>该谁改</t>
        </is>
      </c>
      <c r="W1" s="1" t="inlineStr">
        <is>
          <t>多严重</t>
        </is>
      </c>
      <c r="X1" s="1" t="inlineStr">
        <is>
          <t>整体好坏</t>
        </is>
      </c>
    </row>
    <row r="2">
      <c r="A2" s="2" t="inlineStr">
        <is>
          <t>1</t>
        </is>
      </c>
      <c r="B2" s="2" t="inlineStr">
        <is>
          <t>SAMPLE-RV-0001</t>
        </is>
      </c>
      <c r="C2" s="2" t="inlineStr">
        <is>
          <t>5</t>
        </is>
      </c>
      <c r="D2" s="2" t="inlineStr">
        <is>
          <t>US</t>
        </is>
      </c>
      <c r="E2" s="2" t="inlineStr">
        <is>
          <t>智能眼镜 硅胶防滑鼻托 背胶款 2对装</t>
        </is>
      </c>
      <c r="F2" s="2" t="inlineStr">
        <is>
          <t>A款-防滑鼻托套装(2对装)</t>
        </is>
      </c>
      <c r="G2" s="2" t="inlineStr">
        <is>
          <t>标准款-1.8mm</t>
        </is>
      </c>
      <c r="H2" s="2" t="inlineStr">
        <is>
          <t>标准款</t>
        </is>
      </c>
      <c r="I2" s="2" t="inlineStr">
        <is>
          <t>1.8mm</t>
        </is>
      </c>
      <c r="J2" s="2" t="inlineStr">
        <is>
          <t>2026-01-04</t>
        </is>
      </c>
      <c r="K2" s="2" t="inlineStr">
        <is>
          <t>2026-01</t>
        </is>
      </c>
      <c r="L2" s="2" t="inlineStr">
        <is>
          <t>否</t>
        </is>
      </c>
      <c r="M2" s="2" t="inlineStr"/>
      <c r="N2" s="2" t="inlineStr">
        <is>
          <t>My glasses used to slide down every time I looked at my phone. With these on they stay put all day. Super comfortable too, I forget they are there.</t>
        </is>
      </c>
      <c r="O2" s="2" t="inlineStr"/>
      <c r="P2" s="2" t="inlineStr">
        <is>
          <t>全天佩戴</t>
        </is>
      </c>
      <c r="Q2" s="2" t="inlineStr">
        <is>
          <t>防滑效果(泛指); 佩戴舒适</t>
        </is>
      </c>
      <c r="R2" s="2" t="inlineStr"/>
      <c r="S2" s="2" t="inlineStr"/>
      <c r="T2" s="2" t="inlineStr"/>
      <c r="U2" s="2" t="inlineStr">
        <is>
          <t>防滑效果(泛指)&gt;什么场合=低头</t>
        </is>
      </c>
      <c r="V2" s="2" t="inlineStr"/>
      <c r="W2" s="2" t="inlineStr"/>
      <c r="X2" s="2" t="inlineStr">
        <is>
          <t>好评</t>
        </is>
      </c>
    </row>
    <row r="3">
      <c r="A3" s="2" t="inlineStr">
        <is>
          <t>2</t>
        </is>
      </c>
      <c r="B3" s="2" t="inlineStr">
        <is>
          <t>SAMPLE-RV-0002</t>
        </is>
      </c>
      <c r="C3" s="2" t="inlineStr">
        <is>
          <t>5</t>
        </is>
      </c>
      <c r="D3" s="2" t="inlineStr">
        <is>
          <t>US</t>
        </is>
      </c>
      <c r="E3" s="2" t="inlineStr">
        <is>
          <t>智能眼镜 硅胶防滑鼻托 背胶款 2对装</t>
        </is>
      </c>
      <c r="F3" s="2" t="inlineStr">
        <is>
          <t>A款-防滑鼻托套装(2对装)</t>
        </is>
      </c>
      <c r="G3" s="2" t="inlineStr">
        <is>
          <t>标准款-2.5mm</t>
        </is>
      </c>
      <c r="H3" s="2" t="inlineStr">
        <is>
          <t>标准款</t>
        </is>
      </c>
      <c r="I3" s="2" t="inlineStr">
        <is>
          <t>2.5mm</t>
        </is>
      </c>
      <c r="J3" s="2" t="inlineStr">
        <is>
          <t>2026-01-06</t>
        </is>
      </c>
      <c r="K3" s="2" t="inlineStr">
        <is>
          <t>2026-01</t>
        </is>
      </c>
      <c r="L3" s="2" t="inlineStr">
        <is>
          <t>否</t>
        </is>
      </c>
      <c r="M3" s="2" t="inlineStr"/>
      <c r="N3" s="2" t="inlineStr">
        <is>
          <t>Low nose bridge here. The 2.5 lifts the frames off my cheeks finally. Easy to put on, took two minutes.</t>
        </is>
      </c>
      <c r="O3" s="2" t="inlineStr"/>
      <c r="P3" s="2" t="inlineStr"/>
      <c r="Q3" s="2" t="inlineStr">
        <is>
          <t>整体高度; 安装难易</t>
        </is>
      </c>
      <c r="R3" s="2" t="inlineStr"/>
      <c r="S3" s="2" t="inlineStr"/>
      <c r="T3" s="2" t="inlineStr"/>
      <c r="U3" s="2" t="inlineStr"/>
      <c r="V3" s="2" t="inlineStr"/>
      <c r="W3" s="2" t="inlineStr"/>
      <c r="X3" s="2" t="inlineStr">
        <is>
          <t>好评</t>
        </is>
      </c>
    </row>
    <row r="4">
      <c r="A4" s="2" t="inlineStr">
        <is>
          <t>3</t>
        </is>
      </c>
      <c r="B4" s="2" t="inlineStr">
        <is>
          <t>SAMPLE-RV-0003</t>
        </is>
      </c>
      <c r="C4" s="2" t="inlineStr">
        <is>
          <t>4</t>
        </is>
      </c>
      <c r="D4" s="2" t="inlineStr">
        <is>
          <t>US</t>
        </is>
      </c>
      <c r="E4" s="2" t="inlineStr">
        <is>
          <t>智能眼镜 硅胶防滑鼻托 背胶款 2对装</t>
        </is>
      </c>
      <c r="F4" s="2" t="inlineStr">
        <is>
          <t>A款-防滑鼻托套装(2对装)</t>
        </is>
      </c>
      <c r="G4" s="2" t="inlineStr">
        <is>
          <t>标准款-1.8mm</t>
        </is>
      </c>
      <c r="H4" s="2" t="inlineStr">
        <is>
          <t>标准款</t>
        </is>
      </c>
      <c r="I4" s="2" t="inlineStr">
        <is>
          <t>1.8mm</t>
        </is>
      </c>
      <c r="J4" s="2" t="inlineStr">
        <is>
          <t>2026-01-07</t>
        </is>
      </c>
      <c r="K4" s="2" t="inlineStr">
        <is>
          <t>2026-01</t>
        </is>
      </c>
      <c r="L4" s="2" t="inlineStr">
        <is>
          <t>否</t>
        </is>
      </c>
      <c r="M4" s="2" t="inlineStr"/>
      <c r="N4" s="2" t="inlineStr">
        <is>
          <t>Works well for stopping the slide. Only complaint is they are a bit wider than the original pads so you can see the edge if you look closely.</t>
        </is>
      </c>
      <c r="O4" s="2" t="inlineStr">
        <is>
          <t>原装鼻托</t>
        </is>
      </c>
      <c r="P4" s="2" t="inlineStr"/>
      <c r="Q4" s="2" t="inlineStr">
        <is>
          <t>防滑效果(泛指)</t>
        </is>
      </c>
      <c r="R4" s="2" t="inlineStr">
        <is>
          <t>宽度与覆盖:偏宽; 外观隐形</t>
        </is>
      </c>
      <c r="S4" s="2" t="inlineStr"/>
      <c r="T4" s="2" t="inlineStr"/>
      <c r="U4" s="2" t="inlineStr"/>
      <c r="V4" s="2" t="inlineStr">
        <is>
          <t>产品的事</t>
        </is>
      </c>
      <c r="W4" s="2" t="inlineStr">
        <is>
          <t>轻度</t>
        </is>
      </c>
      <c r="X4" s="2" t="inlineStr">
        <is>
          <t>好评</t>
        </is>
      </c>
    </row>
    <row r="5">
      <c r="A5" s="2" t="inlineStr">
        <is>
          <t>4</t>
        </is>
      </c>
      <c r="B5" s="2" t="inlineStr">
        <is>
          <t>SAMPLE-RV-0004</t>
        </is>
      </c>
      <c r="C5" s="2" t="inlineStr">
        <is>
          <t>5</t>
        </is>
      </c>
      <c r="D5" s="2" t="inlineStr">
        <is>
          <t>US</t>
        </is>
      </c>
      <c r="E5" s="2" t="inlineStr">
        <is>
          <t>智能眼镜 硅胶防滑鼻托 背胶款 2对装</t>
        </is>
      </c>
      <c r="F5" s="2" t="inlineStr">
        <is>
          <t>A款-防滑鼻托套装(2对装)</t>
        </is>
      </c>
      <c r="G5" s="2" t="inlineStr">
        <is>
          <t>大号款-1.8mm</t>
        </is>
      </c>
      <c r="H5" s="2" t="inlineStr">
        <is>
          <t>大号款</t>
        </is>
      </c>
      <c r="I5" s="2" t="inlineStr">
        <is>
          <t>1.8mm</t>
        </is>
      </c>
      <c r="J5" s="2" t="inlineStr">
        <is>
          <t>2026-01-09</t>
        </is>
      </c>
      <c r="K5" s="2" t="inlineStr">
        <is>
          <t>2026-01</t>
        </is>
      </c>
      <c r="L5" s="2" t="inlineStr">
        <is>
          <t>否</t>
        </is>
      </c>
      <c r="M5" s="2" t="inlineStr"/>
      <c r="N5" s="2" t="inlineStr">
        <is>
          <t>Perfect. No more pushing my glasses up every five minutes. Still fits in the charging case with the 1.8.</t>
        </is>
      </c>
      <c r="O5" s="2" t="inlineStr"/>
      <c r="P5" s="2" t="inlineStr">
        <is>
          <t>放回充电盒时</t>
        </is>
      </c>
      <c r="Q5" s="2" t="inlineStr">
        <is>
          <t>防滑效果(泛指); 充电盒收纳</t>
        </is>
      </c>
      <c r="R5" s="2" t="inlineStr"/>
      <c r="S5" s="2" t="inlineStr"/>
      <c r="T5" s="2" t="inlineStr"/>
      <c r="U5" s="2" t="inlineStr"/>
      <c r="V5" s="2" t="inlineStr"/>
      <c r="W5" s="2" t="inlineStr"/>
      <c r="X5" s="2" t="inlineStr">
        <is>
          <t>好评</t>
        </is>
      </c>
    </row>
    <row r="6">
      <c r="A6" s="2" t="inlineStr">
        <is>
          <t>5</t>
        </is>
      </c>
      <c r="B6" s="2" t="inlineStr">
        <is>
          <t>SAMPLE-RV-0005</t>
        </is>
      </c>
      <c r="C6" s="2" t="inlineStr">
        <is>
          <t>5</t>
        </is>
      </c>
      <c r="D6" s="2" t="inlineStr">
        <is>
          <t>US</t>
        </is>
      </c>
      <c r="E6" s="2" t="inlineStr">
        <is>
          <t>智能眼镜 硅胶防滑鼻托 背胶款 2对装</t>
        </is>
      </c>
      <c r="F6" s="2" t="inlineStr">
        <is>
          <t>A款-防滑鼻托套装(2对装)</t>
        </is>
      </c>
      <c r="G6" s="2" t="inlineStr">
        <is>
          <t>标准款-1.8mm</t>
        </is>
      </c>
      <c r="H6" s="2" t="inlineStr">
        <is>
          <t>标准款</t>
        </is>
      </c>
      <c r="I6" s="2" t="inlineStr">
        <is>
          <t>1.8mm</t>
        </is>
      </c>
      <c r="J6" s="2" t="inlineStr">
        <is>
          <t>2026-01-11</t>
        </is>
      </c>
      <c r="K6" s="2" t="inlineStr">
        <is>
          <t>2026-01</t>
        </is>
      </c>
      <c r="L6" s="2" t="inlineStr">
        <is>
          <t>否</t>
        </is>
      </c>
      <c r="M6" s="2" t="inlineStr"/>
      <c r="N6" s="2" t="inlineStr">
        <is>
          <t>I was using folded tissue under the nose pads before, this is so much better. Soft and comfy.</t>
        </is>
      </c>
      <c r="O6" s="2" t="inlineStr">
        <is>
          <t>自己垫东西</t>
        </is>
      </c>
      <c r="P6" s="2" t="inlineStr"/>
      <c r="Q6" s="2" t="inlineStr">
        <is>
          <t>佩戴舒适; 硅胶软硬</t>
        </is>
      </c>
      <c r="R6" s="2" t="inlineStr"/>
      <c r="S6" s="2" t="inlineStr"/>
      <c r="T6" s="2" t="inlineStr"/>
      <c r="U6" s="2" t="inlineStr"/>
      <c r="V6" s="2" t="inlineStr"/>
      <c r="W6" s="2" t="inlineStr"/>
      <c r="X6" s="2" t="inlineStr">
        <is>
          <t>好评</t>
        </is>
      </c>
    </row>
    <row r="7">
      <c r="A7" s="2" t="inlineStr">
        <is>
          <t>6</t>
        </is>
      </c>
      <c r="B7" s="2" t="inlineStr">
        <is>
          <t>SAMPLE-RV-0006</t>
        </is>
      </c>
      <c r="C7" s="2" t="inlineStr">
        <is>
          <t>3</t>
        </is>
      </c>
      <c r="D7" s="2" t="inlineStr">
        <is>
          <t>US</t>
        </is>
      </c>
      <c r="E7" s="2" t="inlineStr">
        <is>
          <t>智能眼镜 硅胶防滑鼻托 背胶款 2对装</t>
        </is>
      </c>
      <c r="F7" s="2" t="inlineStr">
        <is>
          <t>A款-防滑鼻托套装(2对装)</t>
        </is>
      </c>
      <c r="G7" s="2" t="inlineStr">
        <is>
          <t>标准款-2.5mm</t>
        </is>
      </c>
      <c r="H7" s="2" t="inlineStr">
        <is>
          <t>标准款</t>
        </is>
      </c>
      <c r="I7" s="2" t="inlineStr">
        <is>
          <t>2.5mm</t>
        </is>
      </c>
      <c r="J7" s="2" t="inlineStr">
        <is>
          <t>2026-01-12</t>
        </is>
      </c>
      <c r="K7" s="2" t="inlineStr">
        <is>
          <t>2026-01</t>
        </is>
      </c>
      <c r="L7" s="2" t="inlineStr">
        <is>
          <t>否</t>
        </is>
      </c>
      <c r="M7" s="2" t="inlineStr"/>
      <c r="N7" s="2" t="inlineStr">
        <is>
          <t>Comfortable and they do stop the slipping, but with the 2.5 my glasses no longer fit in the charging case. Wish the listing had said so.</t>
        </is>
      </c>
      <c r="O7" s="2" t="inlineStr"/>
      <c r="P7" s="2" t="inlineStr">
        <is>
          <t>放回充电盒时</t>
        </is>
      </c>
      <c r="Q7" s="2" t="inlineStr">
        <is>
          <t>佩戴舒适; 防滑效果(泛指)</t>
        </is>
      </c>
      <c r="R7" s="2" t="inlineStr">
        <is>
          <t>充电盒收纳</t>
        </is>
      </c>
      <c r="S7" s="2" t="inlineStr">
        <is>
          <t>充电盒收纳</t>
        </is>
      </c>
      <c r="T7" s="2" t="inlineStr"/>
      <c r="U7" s="2" t="inlineStr">
        <is>
          <t>充电盒收纳&gt;怎么个不行=放不进去或合不上盖</t>
        </is>
      </c>
      <c r="V7" s="2" t="inlineStr">
        <is>
          <t>页面的事</t>
        </is>
      </c>
      <c r="W7" s="2" t="inlineStr">
        <is>
          <t>中度</t>
        </is>
      </c>
      <c r="X7" s="2" t="inlineStr">
        <is>
          <t>中性</t>
        </is>
      </c>
    </row>
    <row r="8">
      <c r="A8" s="2" t="inlineStr">
        <is>
          <t>7</t>
        </is>
      </c>
      <c r="B8" s="2" t="inlineStr">
        <is>
          <t>SAMPLE-RV-0007</t>
        </is>
      </c>
      <c r="C8" s="2" t="inlineStr">
        <is>
          <t>5</t>
        </is>
      </c>
      <c r="D8" s="2" t="inlineStr">
        <is>
          <t>US</t>
        </is>
      </c>
      <c r="E8" s="2" t="inlineStr">
        <is>
          <t>智能眼镜 硅胶防滑鼻托 背胶款 2对装</t>
        </is>
      </c>
      <c r="F8" s="2" t="inlineStr">
        <is>
          <t>A款-防滑鼻托套装(2对装)</t>
        </is>
      </c>
      <c r="G8" s="2" t="inlineStr">
        <is>
          <t>大号款-1.8mm</t>
        </is>
      </c>
      <c r="H8" s="2" t="inlineStr">
        <is>
          <t>大号款</t>
        </is>
      </c>
      <c r="I8" s="2" t="inlineStr">
        <is>
          <t>1.8mm</t>
        </is>
      </c>
      <c r="J8" s="2" t="inlineStr">
        <is>
          <t>2026-01-15</t>
        </is>
      </c>
      <c r="K8" s="2" t="inlineStr">
        <is>
          <t>2026-01</t>
        </is>
      </c>
      <c r="L8" s="2" t="inlineStr">
        <is>
          <t>否</t>
        </is>
      </c>
      <c r="M8" s="2" t="inlineStr"/>
      <c r="N8" s="2" t="inlineStr">
        <is>
          <t>Bought these for my husband, he wears his glasses all day and says they are way more comfortable now. He stopped complaining about them sliding.</t>
        </is>
      </c>
      <c r="O8" s="2" t="inlineStr">
        <is>
          <t>代买(伴侣)</t>
        </is>
      </c>
      <c r="P8" s="2" t="inlineStr">
        <is>
          <t>全天佩戴</t>
        </is>
      </c>
      <c r="Q8" s="2" t="inlineStr">
        <is>
          <t>佩戴舒适; 防滑效果(泛指)</t>
        </is>
      </c>
      <c r="R8" s="2" t="inlineStr"/>
      <c r="S8" s="2" t="inlineStr"/>
      <c r="T8" s="2" t="inlineStr"/>
      <c r="U8" s="2" t="inlineStr"/>
      <c r="V8" s="2" t="inlineStr"/>
      <c r="W8" s="2" t="inlineStr"/>
      <c r="X8" s="2" t="inlineStr">
        <is>
          <t>好评</t>
        </is>
      </c>
    </row>
    <row r="9">
      <c r="A9" s="2" t="inlineStr">
        <is>
          <t>8</t>
        </is>
      </c>
      <c r="B9" s="2" t="inlineStr">
        <is>
          <t>SAMPLE-RV-0008</t>
        </is>
      </c>
      <c r="C9" s="2" t="inlineStr">
        <is>
          <t>4</t>
        </is>
      </c>
      <c r="D9" s="2" t="inlineStr">
        <is>
          <t>US</t>
        </is>
      </c>
      <c r="E9" s="2" t="inlineStr">
        <is>
          <t>智能眼镜 硅胶防滑鼻托 背胶款 2对装</t>
        </is>
      </c>
      <c r="F9" s="2" t="inlineStr">
        <is>
          <t>A款-防滑鼻托套装(2对装)</t>
        </is>
      </c>
      <c r="G9" s="2" t="inlineStr">
        <is>
          <t>标准款-2.5mm</t>
        </is>
      </c>
      <c r="H9" s="2" t="inlineStr">
        <is>
          <t>标准款</t>
        </is>
      </c>
      <c r="I9" s="2" t="inlineStr">
        <is>
          <t>2.5mm</t>
        </is>
      </c>
      <c r="J9" s="2" t="inlineStr">
        <is>
          <t>2026-01-17</t>
        </is>
      </c>
      <c r="K9" s="2" t="inlineStr">
        <is>
          <t>2026-01</t>
        </is>
      </c>
      <c r="L9" s="2" t="inlineStr">
        <is>
          <t>否</t>
        </is>
      </c>
      <c r="M9" s="2" t="inlineStr"/>
      <c r="N9" s="2" t="inlineStr">
        <is>
          <t>Good grip, stays on even at the gym. A little tall for my taste but I got used to it.</t>
        </is>
      </c>
      <c r="O9" s="2" t="inlineStr"/>
      <c r="P9" s="2" t="inlineStr">
        <is>
          <t>运动出汗</t>
        </is>
      </c>
      <c r="Q9" s="2" t="inlineStr">
        <is>
          <t>防滑效果(泛指); 出汗时防滑</t>
        </is>
      </c>
      <c r="R9" s="2" t="inlineStr">
        <is>
          <t>整体高度:偏高</t>
        </is>
      </c>
      <c r="S9" s="2" t="inlineStr"/>
      <c r="T9" s="2" t="inlineStr"/>
      <c r="U9" s="2" t="inlineStr">
        <is>
          <t>防滑效果(泛指)&gt;什么场合=运动</t>
        </is>
      </c>
      <c r="V9" s="2" t="inlineStr">
        <is>
          <t>说不清</t>
        </is>
      </c>
      <c r="W9" s="2" t="inlineStr">
        <is>
          <t>轻度</t>
        </is>
      </c>
      <c r="X9" s="2" t="inlineStr">
        <is>
          <t>好评</t>
        </is>
      </c>
    </row>
    <row r="10">
      <c r="A10" s="2" t="inlineStr">
        <is>
          <t>9</t>
        </is>
      </c>
      <c r="B10" s="2" t="inlineStr">
        <is>
          <t>SAMPLE-RV-0009</t>
        </is>
      </c>
      <c r="C10" s="2" t="inlineStr">
        <is>
          <t>5</t>
        </is>
      </c>
      <c r="D10" s="2" t="inlineStr">
        <is>
          <t>US</t>
        </is>
      </c>
      <c r="E10" s="2" t="inlineStr">
        <is>
          <t>智能眼镜 硅胶防滑鼻托 背胶款 2对装</t>
        </is>
      </c>
      <c r="F10" s="2" t="inlineStr">
        <is>
          <t>A款-防滑鼻托套装(2对装)</t>
        </is>
      </c>
      <c r="G10" s="2" t="inlineStr">
        <is>
          <t>标准款-1.8mm</t>
        </is>
      </c>
      <c r="H10" s="2" t="inlineStr">
        <is>
          <t>标准款</t>
        </is>
      </c>
      <c r="I10" s="2" t="inlineStr">
        <is>
          <t>1.8mm</t>
        </is>
      </c>
      <c r="J10" s="2" t="inlineStr">
        <is>
          <t>2026-01-19</t>
        </is>
      </c>
      <c r="K10" s="2" t="inlineStr">
        <is>
          <t>2026-01</t>
        </is>
      </c>
      <c r="L10" s="2" t="inlineStr">
        <is>
          <t>否</t>
        </is>
      </c>
      <c r="M10" s="2" t="inlineStr"/>
      <c r="N10" s="2" t="inlineStr">
        <is>
          <t>Tried another brand before and those fell off in a week. These have been on for a month, still solid.</t>
        </is>
      </c>
      <c r="O10" s="2" t="inlineStr">
        <is>
          <t>其他品牌鼻托</t>
        </is>
      </c>
      <c r="P10" s="2" t="inlineStr"/>
      <c r="Q10" s="2" t="inlineStr">
        <is>
          <t>背胶牢固度</t>
        </is>
      </c>
      <c r="R10" s="2" t="inlineStr"/>
      <c r="S10" s="2" t="inlineStr"/>
      <c r="T10" s="2" t="inlineStr">
        <is>
          <t>戴稳踏实感(夸)</t>
        </is>
      </c>
      <c r="U10" s="2" t="inlineStr"/>
      <c r="V10" s="2" t="inlineStr"/>
      <c r="W10" s="2" t="inlineStr"/>
      <c r="X10" s="2" t="inlineStr">
        <is>
          <t>好评</t>
        </is>
      </c>
    </row>
    <row r="11">
      <c r="A11" s="2" t="inlineStr">
        <is>
          <t>10</t>
        </is>
      </c>
      <c r="B11" s="2" t="inlineStr">
        <is>
          <t>SAMPLE-RV-0010</t>
        </is>
      </c>
      <c r="C11" s="2" t="inlineStr">
        <is>
          <t>2</t>
        </is>
      </c>
      <c r="D11" s="2" t="inlineStr">
        <is>
          <t>US</t>
        </is>
      </c>
      <c r="E11" s="2" t="inlineStr">
        <is>
          <t>智能眼镜 硅胶防滑鼻托 背胶款 2对装</t>
        </is>
      </c>
      <c r="F11" s="2" t="inlineStr">
        <is>
          <t>A款-防滑鼻托套装(2对装)</t>
        </is>
      </c>
      <c r="G11" s="2" t="inlineStr">
        <is>
          <t>标准款-2.5mm</t>
        </is>
      </c>
      <c r="H11" s="2" t="inlineStr">
        <is>
          <t>标准款</t>
        </is>
      </c>
      <c r="I11" s="2" t="inlineStr">
        <is>
          <t>2.5mm</t>
        </is>
      </c>
      <c r="J11" s="2" t="inlineStr">
        <is>
          <t>2026-01-21</t>
        </is>
      </c>
      <c r="K11" s="2" t="inlineStr">
        <is>
          <t>2026-01</t>
        </is>
      </c>
      <c r="L11" s="2" t="inlineStr">
        <is>
          <t>否</t>
        </is>
      </c>
      <c r="M11" s="2" t="inlineStr"/>
      <c r="N11" s="2" t="inlineStr">
        <is>
          <t>They stop the sliding but the camera now points up, all my videos are aimed at the sky. Also does not fit the case.</t>
        </is>
      </c>
      <c r="O11" s="2" t="inlineStr"/>
      <c r="P11" s="2" t="inlineStr"/>
      <c r="Q11" s="2" t="inlineStr">
        <is>
          <t>防滑效果(泛指)</t>
        </is>
      </c>
      <c r="R11" s="2" t="inlineStr">
        <is>
          <t>摄像头视角; 充电盒收纳</t>
        </is>
      </c>
      <c r="S11" s="2" t="inlineStr"/>
      <c r="T11" s="2" t="inlineStr"/>
      <c r="U11" s="2" t="inlineStr">
        <is>
          <t>充电盒收纳&gt;怎么个不行=放不进去或合不上盖</t>
        </is>
      </c>
      <c r="V11" s="2" t="inlineStr">
        <is>
          <t>产品的事</t>
        </is>
      </c>
      <c r="W11" s="2" t="inlineStr">
        <is>
          <t>中度</t>
        </is>
      </c>
      <c r="X11" s="2" t="inlineStr">
        <is>
          <t>差评</t>
        </is>
      </c>
    </row>
    <row r="12">
      <c r="A12" s="2" t="inlineStr">
        <is>
          <t>11</t>
        </is>
      </c>
      <c r="B12" s="2" t="inlineStr">
        <is>
          <t>SAMPLE-RV-0011</t>
        </is>
      </c>
      <c r="C12" s="2" t="inlineStr">
        <is>
          <t>5</t>
        </is>
      </c>
      <c r="D12" s="2" t="inlineStr">
        <is>
          <t>US</t>
        </is>
      </c>
      <c r="E12" s="2" t="inlineStr">
        <is>
          <t>智能眼镜 硅胶防滑鼻托 背胶款 2对装</t>
        </is>
      </c>
      <c r="F12" s="2" t="inlineStr">
        <is>
          <t>A款-防滑鼻托套装(2对装)</t>
        </is>
      </c>
      <c r="G12" s="2" t="inlineStr">
        <is>
          <t>大号款-2.5mm</t>
        </is>
      </c>
      <c r="H12" s="2" t="inlineStr">
        <is>
          <t>大号款</t>
        </is>
      </c>
      <c r="I12" s="2" t="inlineStr">
        <is>
          <t>2.5mm</t>
        </is>
      </c>
      <c r="J12" s="2" t="inlineStr">
        <is>
          <t>2026-01-23</t>
        </is>
      </c>
      <c r="K12" s="2" t="inlineStr">
        <is>
          <t>2026-01</t>
        </is>
      </c>
      <c r="L12" s="2" t="inlineStr">
        <is>
          <t>否</t>
        </is>
      </c>
      <c r="M12" s="2" t="inlineStr"/>
      <c r="N12" s="2" t="inlineStr">
        <is>
          <t>Game changer for a flat nose. Glasses sit where they should. Install was simple with the little guide.</t>
        </is>
      </c>
      <c r="O12" s="2" t="inlineStr"/>
      <c r="P12" s="2" t="inlineStr"/>
      <c r="Q12" s="2" t="inlineStr">
        <is>
          <t>整体高度; 安装难易</t>
        </is>
      </c>
      <c r="R12" s="2" t="inlineStr"/>
      <c r="S12" s="2" t="inlineStr"/>
      <c r="T12" s="2" t="inlineStr"/>
      <c r="U12" s="2" t="inlineStr"/>
      <c r="V12" s="2" t="inlineStr"/>
      <c r="W12" s="2" t="inlineStr"/>
      <c r="X12" s="2" t="inlineStr">
        <is>
          <t>好评</t>
        </is>
      </c>
    </row>
    <row r="13">
      <c r="A13" s="2" t="inlineStr">
        <is>
          <t>12</t>
        </is>
      </c>
      <c r="B13" s="2" t="inlineStr">
        <is>
          <t>SAMPLE-RV-0012</t>
        </is>
      </c>
      <c r="C13" s="2" t="inlineStr">
        <is>
          <t>5</t>
        </is>
      </c>
      <c r="D13" s="2" t="inlineStr">
        <is>
          <t>US</t>
        </is>
      </c>
      <c r="E13" s="2" t="inlineStr">
        <is>
          <t>智能眼镜 硅胶防滑鼻托 背胶款 2对装</t>
        </is>
      </c>
      <c r="F13" s="2" t="inlineStr">
        <is>
          <t>A款-防滑鼻托套装(2对装)</t>
        </is>
      </c>
      <c r="G13" s="2" t="inlineStr">
        <is>
          <t>标准款-1.8mm</t>
        </is>
      </c>
      <c r="H13" s="2" t="inlineStr">
        <is>
          <t>标准款</t>
        </is>
      </c>
      <c r="I13" s="2" t="inlineStr">
        <is>
          <t>1.8mm</t>
        </is>
      </c>
      <c r="J13" s="2" t="inlineStr">
        <is>
          <t>2026-01-25</t>
        </is>
      </c>
      <c r="K13" s="2" t="inlineStr">
        <is>
          <t>2026-01</t>
        </is>
      </c>
      <c r="L13" s="2" t="inlineStr">
        <is>
          <t>否</t>
        </is>
      </c>
      <c r="M13" s="2" t="inlineStr"/>
      <c r="N13" s="2" t="inlineStr">
        <is>
          <t>So comfortable. No red marks on my nose anymore.</t>
        </is>
      </c>
      <c r="O13" s="2" t="inlineStr"/>
      <c r="P13" s="2" t="inlineStr"/>
      <c r="Q13" s="2" t="inlineStr">
        <is>
          <t>佩戴舒适</t>
        </is>
      </c>
      <c r="R13" s="2" t="inlineStr"/>
      <c r="S13" s="2" t="inlineStr"/>
      <c r="T13" s="2" t="inlineStr"/>
      <c r="U13" s="2" t="inlineStr"/>
      <c r="V13" s="2" t="inlineStr"/>
      <c r="W13" s="2" t="inlineStr"/>
      <c r="X13" s="2" t="inlineStr">
        <is>
          <t>好评</t>
        </is>
      </c>
    </row>
    <row r="14">
      <c r="A14" s="2" t="inlineStr">
        <is>
          <t>13</t>
        </is>
      </c>
      <c r="B14" s="2" t="inlineStr">
        <is>
          <t>SAMPLE-RV-0013</t>
        </is>
      </c>
      <c r="C14" s="2" t="inlineStr">
        <is>
          <t>4</t>
        </is>
      </c>
      <c r="D14" s="2" t="inlineStr">
        <is>
          <t>US</t>
        </is>
      </c>
      <c r="E14" s="2" t="inlineStr">
        <is>
          <t>智能眼镜 硅胶防滑鼻托 背胶款 2对装</t>
        </is>
      </c>
      <c r="F14" s="2" t="inlineStr">
        <is>
          <t>A款-防滑鼻托套装(2对装)</t>
        </is>
      </c>
      <c r="G14" s="2" t="inlineStr">
        <is>
          <t>标准款-1.8mm</t>
        </is>
      </c>
      <c r="H14" s="2" t="inlineStr">
        <is>
          <t>标准款</t>
        </is>
      </c>
      <c r="I14" s="2" t="inlineStr">
        <is>
          <t>1.8mm</t>
        </is>
      </c>
      <c r="J14" s="2" t="inlineStr">
        <is>
          <t>2026-01-27</t>
        </is>
      </c>
      <c r="K14" s="2" t="inlineStr">
        <is>
          <t>2026-01</t>
        </is>
      </c>
      <c r="L14" s="2" t="inlineStr">
        <is>
          <t>否</t>
        </is>
      </c>
      <c r="M14" s="2" t="inlineStr"/>
      <c r="N14" s="2" t="inlineStr">
        <is>
          <t>Does the job. Pricey for four bits of silicone but it fixed my problem.</t>
        </is>
      </c>
      <c r="O14" s="2" t="inlineStr"/>
      <c r="P14" s="2" t="inlineStr"/>
      <c r="Q14" s="2" t="inlineStr">
        <is>
          <t>质量(泛指)</t>
        </is>
      </c>
      <c r="R14" s="2" t="inlineStr">
        <is>
          <t>值不值</t>
        </is>
      </c>
      <c r="S14" s="2" t="inlineStr"/>
      <c r="T14" s="2" t="inlineStr"/>
      <c r="U14" s="2" t="inlineStr"/>
      <c r="V14" s="2" t="inlineStr">
        <is>
          <t>说不清</t>
        </is>
      </c>
      <c r="W14" s="2" t="inlineStr">
        <is>
          <t>轻度</t>
        </is>
      </c>
      <c r="X14" s="2" t="inlineStr">
        <is>
          <t>好评</t>
        </is>
      </c>
    </row>
    <row r="15">
      <c r="A15" s="2" t="inlineStr">
        <is>
          <t>14</t>
        </is>
      </c>
      <c r="B15" s="2" t="inlineStr">
        <is>
          <t>SAMPLE-RV-0014</t>
        </is>
      </c>
      <c r="C15" s="2" t="inlineStr">
        <is>
          <t>5</t>
        </is>
      </c>
      <c r="D15" s="2" t="inlineStr">
        <is>
          <t>US</t>
        </is>
      </c>
      <c r="E15" s="2" t="inlineStr">
        <is>
          <t>智能眼镜 硅胶防滑鼻托 背胶款 2对装</t>
        </is>
      </c>
      <c r="F15" s="2" t="inlineStr">
        <is>
          <t>A款-防滑鼻托套装(2对装)</t>
        </is>
      </c>
      <c r="G15" s="2" t="inlineStr">
        <is>
          <t>大号款-1.8mm</t>
        </is>
      </c>
      <c r="H15" s="2" t="inlineStr">
        <is>
          <t>大号款</t>
        </is>
      </c>
      <c r="I15" s="2" t="inlineStr">
        <is>
          <t>1.8mm</t>
        </is>
      </c>
      <c r="J15" s="2" t="inlineStr">
        <is>
          <t>2026-01-30</t>
        </is>
      </c>
      <c r="K15" s="2" t="inlineStr">
        <is>
          <t>2026-01</t>
        </is>
      </c>
      <c r="L15" s="2" t="inlineStr">
        <is>
          <t>否</t>
        </is>
      </c>
      <c r="M15" s="2" t="inlineStr"/>
      <c r="N15" s="2" t="inlineStr">
        <is>
          <t>Second set I have bought, one for each pair of glasses. They just work.</t>
        </is>
      </c>
      <c r="O15" s="2" t="inlineStr">
        <is>
          <t>复购</t>
        </is>
      </c>
      <c r="P15" s="2" t="inlineStr"/>
      <c r="Q15" s="2" t="inlineStr">
        <is>
          <t>质量(泛指)</t>
        </is>
      </c>
      <c r="R15" s="2" t="inlineStr"/>
      <c r="S15" s="2" t="inlineStr"/>
      <c r="T15" s="2" t="inlineStr"/>
      <c r="U15" s="2" t="inlineStr"/>
      <c r="V15" s="2" t="inlineStr"/>
      <c r="W15" s="2" t="inlineStr"/>
      <c r="X15" s="2" t="inlineStr">
        <is>
          <t>好评</t>
        </is>
      </c>
    </row>
    <row r="16">
      <c r="A16" s="2" t="inlineStr">
        <is>
          <t>15</t>
        </is>
      </c>
      <c r="B16" s="2" t="inlineStr">
        <is>
          <t>SAMPLE-RV-0020</t>
        </is>
      </c>
      <c r="C16" s="2" t="inlineStr">
        <is>
          <t>5</t>
        </is>
      </c>
      <c r="D16" s="2" t="inlineStr">
        <is>
          <t>US</t>
        </is>
      </c>
      <c r="E16" s="2" t="inlineStr">
        <is>
          <t>智能眼镜 硅胶防滑鼻托 背胶款 2对装</t>
        </is>
      </c>
      <c r="F16" s="2" t="inlineStr">
        <is>
          <t>A款-防滑鼻托套装(2对装)</t>
        </is>
      </c>
      <c r="G16" s="2" t="inlineStr">
        <is>
          <t>标准款-2.5mm</t>
        </is>
      </c>
      <c r="H16" s="2" t="inlineStr">
        <is>
          <t>标准款</t>
        </is>
      </c>
      <c r="I16" s="2" t="inlineStr">
        <is>
          <t>2.5mm</t>
        </is>
      </c>
      <c r="J16" s="2" t="inlineStr">
        <is>
          <t>2026-02-02</t>
        </is>
      </c>
      <c r="K16" s="2" t="inlineStr">
        <is>
          <t>2026-02</t>
        </is>
      </c>
      <c r="L16" s="2" t="inlineStr">
        <is>
          <t>否</t>
        </is>
      </c>
      <c r="M16" s="2" t="inlineStr"/>
      <c r="N16" s="2" t="inlineStr">
        <is>
          <t>Finally my glasses do not rest on my cheeks. The 2.5 is the right call for low bridges.</t>
        </is>
      </c>
      <c r="O16" s="2" t="inlineStr"/>
      <c r="P16" s="2" t="inlineStr"/>
      <c r="Q16" s="2" t="inlineStr">
        <is>
          <t>整体高度</t>
        </is>
      </c>
      <c r="R16" s="2" t="inlineStr"/>
      <c r="S16" s="2" t="inlineStr"/>
      <c r="T16" s="2" t="inlineStr"/>
      <c r="U16" s="2" t="inlineStr"/>
      <c r="V16" s="2" t="inlineStr"/>
      <c r="W16" s="2" t="inlineStr"/>
      <c r="X16" s="2" t="inlineStr">
        <is>
          <t>好评</t>
        </is>
      </c>
    </row>
    <row r="17">
      <c r="A17" s="2" t="inlineStr">
        <is>
          <t>16</t>
        </is>
      </c>
      <c r="B17" s="2" t="inlineStr">
        <is>
          <t>SAMPLE-RV-0021</t>
        </is>
      </c>
      <c r="C17" s="2" t="inlineStr">
        <is>
          <t>5</t>
        </is>
      </c>
      <c r="D17" s="2" t="inlineStr">
        <is>
          <t>US</t>
        </is>
      </c>
      <c r="E17" s="2" t="inlineStr">
        <is>
          <t>智能眼镜 硅胶防滑鼻托 背胶款 2对装</t>
        </is>
      </c>
      <c r="F17" s="2" t="inlineStr">
        <is>
          <t>A款-防滑鼻托套装(2对装)</t>
        </is>
      </c>
      <c r="G17" s="2" t="inlineStr">
        <is>
          <t>标准款-1.8mm</t>
        </is>
      </c>
      <c r="H17" s="2" t="inlineStr">
        <is>
          <t>标准款</t>
        </is>
      </c>
      <c r="I17" s="2" t="inlineStr">
        <is>
          <t>1.8mm</t>
        </is>
      </c>
      <c r="J17" s="2" t="inlineStr">
        <is>
          <t>2026-02-04</t>
        </is>
      </c>
      <c r="K17" s="2" t="inlineStr">
        <is>
          <t>2026-02</t>
        </is>
      </c>
      <c r="L17" s="2" t="inlineStr">
        <is>
          <t>否</t>
        </is>
      </c>
      <c r="M17" s="2" t="inlineStr"/>
      <c r="N17" s="2" t="inlineStr">
        <is>
          <t>Invisible once on. Nobody noticed. Glasses stay up when I look down.</t>
        </is>
      </c>
      <c r="O17" s="2" t="inlineStr"/>
      <c r="P17" s="2" t="inlineStr"/>
      <c r="Q17" s="2" t="inlineStr">
        <is>
          <t>外观隐形; 防滑效果(泛指)</t>
        </is>
      </c>
      <c r="R17" s="2" t="inlineStr"/>
      <c r="S17" s="2" t="inlineStr"/>
      <c r="T17" s="2" t="inlineStr">
        <is>
          <t>外观自然度(夸)</t>
        </is>
      </c>
      <c r="U17" s="2" t="inlineStr">
        <is>
          <t>防滑效果(泛指)&gt;什么场合=低头</t>
        </is>
      </c>
      <c r="V17" s="2" t="inlineStr"/>
      <c r="W17" s="2" t="inlineStr"/>
      <c r="X17" s="2" t="inlineStr">
        <is>
          <t>好评</t>
        </is>
      </c>
    </row>
    <row r="18">
      <c r="A18" s="2" t="inlineStr">
        <is>
          <t>17</t>
        </is>
      </c>
      <c r="B18" s="2" t="inlineStr">
        <is>
          <t>SAMPLE-RV-0022</t>
        </is>
      </c>
      <c r="C18" s="2" t="inlineStr">
        <is>
          <t>4</t>
        </is>
      </c>
      <c r="D18" s="2" t="inlineStr">
        <is>
          <t>US</t>
        </is>
      </c>
      <c r="E18" s="2" t="inlineStr">
        <is>
          <t>智能眼镜 硅胶防滑鼻托 背胶款 2对装</t>
        </is>
      </c>
      <c r="F18" s="2" t="inlineStr">
        <is>
          <t>A款-防滑鼻托套装(2对装)</t>
        </is>
      </c>
      <c r="G18" s="2" t="inlineStr">
        <is>
          <t>标准款-1.8mm</t>
        </is>
      </c>
      <c r="H18" s="2" t="inlineStr">
        <is>
          <t>标准款</t>
        </is>
      </c>
      <c r="I18" s="2" t="inlineStr">
        <is>
          <t>1.8mm</t>
        </is>
      </c>
      <c r="J18" s="2" t="inlineStr">
        <is>
          <t>2026-02-06</t>
        </is>
      </c>
      <c r="K18" s="2" t="inlineStr">
        <is>
          <t>2026-02</t>
        </is>
      </c>
      <c r="L18" s="2" t="inlineStr">
        <is>
          <t>否</t>
        </is>
      </c>
      <c r="M18" s="2" t="inlineStr"/>
      <c r="N18" s="2" t="inlineStr">
        <is>
          <t>Great comfort, holds well. They are slightly wider than the stock pads, which bugs me a little.</t>
        </is>
      </c>
      <c r="O18" s="2" t="inlineStr">
        <is>
          <t>原装鼻托</t>
        </is>
      </c>
      <c r="P18" s="2" t="inlineStr"/>
      <c r="Q18" s="2" t="inlineStr">
        <is>
          <t>佩戴舒适; 防滑效果(泛指)</t>
        </is>
      </c>
      <c r="R18" s="2" t="inlineStr">
        <is>
          <t>宽度与覆盖:偏宽</t>
        </is>
      </c>
      <c r="S18" s="2" t="inlineStr"/>
      <c r="T18" s="2" t="inlineStr"/>
      <c r="U18" s="2" t="inlineStr"/>
      <c r="V18" s="2" t="inlineStr">
        <is>
          <t>产品的事</t>
        </is>
      </c>
      <c r="W18" s="2" t="inlineStr">
        <is>
          <t>轻度</t>
        </is>
      </c>
      <c r="X18" s="2" t="inlineStr">
        <is>
          <t>好评</t>
        </is>
      </c>
    </row>
    <row r="19">
      <c r="A19" s="2" t="inlineStr">
        <is>
          <t>18</t>
        </is>
      </c>
      <c r="B19" s="2" t="inlineStr">
        <is>
          <t>SAMPLE-RV-0023</t>
        </is>
      </c>
      <c r="C19" s="2" t="inlineStr">
        <is>
          <t>1</t>
        </is>
      </c>
      <c r="D19" s="2" t="inlineStr">
        <is>
          <t>US</t>
        </is>
      </c>
      <c r="E19" s="2" t="inlineStr">
        <is>
          <t>智能眼镜 硅胶防滑鼻托 背胶款 2对装</t>
        </is>
      </c>
      <c r="F19" s="2" t="inlineStr">
        <is>
          <t>A款-防滑鼻托套装(2对装)</t>
        </is>
      </c>
      <c r="G19" s="2" t="inlineStr">
        <is>
          <t>标准款-2.5mm</t>
        </is>
      </c>
      <c r="H19" s="2" t="inlineStr">
        <is>
          <t>标准款</t>
        </is>
      </c>
      <c r="I19" s="2" t="inlineStr">
        <is>
          <t>2.5mm</t>
        </is>
      </c>
      <c r="J19" s="2" t="inlineStr">
        <is>
          <t>2026-02-08</t>
        </is>
      </c>
      <c r="K19" s="2" t="inlineStr">
        <is>
          <t>2026-02</t>
        </is>
      </c>
      <c r="L19" s="2" t="inlineStr">
        <is>
          <t>否</t>
        </is>
      </c>
      <c r="M19" s="2" t="inlineStr"/>
      <c r="N19" s="2" t="inlineStr">
        <is>
          <t>Way too thick. The listing told me to choose 2.5 for a low bridge and now my glasses float above my eyebrows. Returned.</t>
        </is>
      </c>
      <c r="O19" s="2" t="inlineStr">
        <is>
          <t>照页面指引选的</t>
        </is>
      </c>
      <c r="P19" s="2" t="inlineStr"/>
      <c r="Q19" s="2" t="inlineStr"/>
      <c r="R19" s="2" t="inlineStr">
        <is>
          <t>整体高度:偏高; 选档指引</t>
        </is>
      </c>
      <c r="S19" s="2" t="inlineStr">
        <is>
          <t>选档指引</t>
        </is>
      </c>
      <c r="T19" s="2" t="inlineStr">
        <is>
          <t>外观自然度</t>
        </is>
      </c>
      <c r="U19" s="2" t="inlineStr"/>
      <c r="V19" s="2" t="inlineStr">
        <is>
          <t>页面的事</t>
        </is>
      </c>
      <c r="W19" s="2" t="inlineStr">
        <is>
          <t>中度</t>
        </is>
      </c>
      <c r="X19" s="2" t="inlineStr">
        <is>
          <t>差评</t>
        </is>
      </c>
    </row>
    <row r="20">
      <c r="A20" s="2" t="inlineStr">
        <is>
          <t>19</t>
        </is>
      </c>
      <c r="B20" s="2" t="inlineStr">
        <is>
          <t>SAMPLE-RV-0024</t>
        </is>
      </c>
      <c r="C20" s="2" t="inlineStr">
        <is>
          <t>5</t>
        </is>
      </c>
      <c r="D20" s="2" t="inlineStr">
        <is>
          <t>US</t>
        </is>
      </c>
      <c r="E20" s="2" t="inlineStr">
        <is>
          <t>智能眼镜 硅胶防滑鼻托 背胶款 2对装</t>
        </is>
      </c>
      <c r="F20" s="2" t="inlineStr">
        <is>
          <t>A款-防滑鼻托套装(2对装)</t>
        </is>
      </c>
      <c r="G20" s="2" t="inlineStr">
        <is>
          <t>大号款-1.8mm</t>
        </is>
      </c>
      <c r="H20" s="2" t="inlineStr">
        <is>
          <t>大号款</t>
        </is>
      </c>
      <c r="I20" s="2" t="inlineStr">
        <is>
          <t>1.8mm</t>
        </is>
      </c>
      <c r="J20" s="2" t="inlineStr">
        <is>
          <t>2026-02-10</t>
        </is>
      </c>
      <c r="K20" s="2" t="inlineStr">
        <is>
          <t>2026-02</t>
        </is>
      </c>
      <c r="L20" s="2" t="inlineStr">
        <is>
          <t>否</t>
        </is>
      </c>
      <c r="M20" s="2" t="inlineStr"/>
      <c r="N20" s="2" t="inlineStr">
        <is>
          <t>Fits my large frames perfectly and still charges in the case. Very happy.</t>
        </is>
      </c>
      <c r="O20" s="2" t="inlineStr"/>
      <c r="P20" s="2" t="inlineStr">
        <is>
          <t>放回充电盒时</t>
        </is>
      </c>
      <c r="Q20" s="2" t="inlineStr">
        <is>
          <t>机型适配; 装上后充电; 充电盒收纳</t>
        </is>
      </c>
      <c r="R20" s="2" t="inlineStr"/>
      <c r="S20" s="2" t="inlineStr"/>
      <c r="T20" s="2" t="inlineStr"/>
      <c r="U20" s="2" t="inlineStr"/>
      <c r="V20" s="2" t="inlineStr"/>
      <c r="W20" s="2" t="inlineStr"/>
      <c r="X20" s="2" t="inlineStr">
        <is>
          <t>好评</t>
        </is>
      </c>
    </row>
    <row r="21">
      <c r="A21" s="2" t="inlineStr">
        <is>
          <t>20</t>
        </is>
      </c>
      <c r="B21" s="2" t="inlineStr">
        <is>
          <t>SAMPLE-RV-0025</t>
        </is>
      </c>
      <c r="C21" s="2" t="inlineStr">
        <is>
          <t>5</t>
        </is>
      </c>
      <c r="D21" s="2" t="inlineStr">
        <is>
          <t>US</t>
        </is>
      </c>
      <c r="E21" s="2" t="inlineStr">
        <is>
          <t>智能眼镜 硅胶防滑鼻托 背胶款 2对装</t>
        </is>
      </c>
      <c r="F21" s="2" t="inlineStr">
        <is>
          <t>A款-防滑鼻托套装(2对装)</t>
        </is>
      </c>
      <c r="G21" s="2" t="inlineStr">
        <is>
          <t>标准款-2.5mm</t>
        </is>
      </c>
      <c r="H21" s="2" t="inlineStr">
        <is>
          <t>标准款</t>
        </is>
      </c>
      <c r="I21" s="2" t="inlineStr">
        <is>
          <t>2.5mm</t>
        </is>
      </c>
      <c r="J21" s="2" t="inlineStr">
        <is>
          <t>2026-02-12</t>
        </is>
      </c>
      <c r="K21" s="2" t="inlineStr">
        <is>
          <t>2026-02</t>
        </is>
      </c>
      <c r="L21" s="2" t="inlineStr">
        <is>
          <t>否</t>
        </is>
      </c>
      <c r="M21" s="2" t="inlineStr"/>
      <c r="N21" s="2" t="inlineStr">
        <is>
          <t>Comfortable but the glasses will not close in the charging case with these on. I take them off every night which defeats the purpose.</t>
        </is>
      </c>
      <c r="O21" s="2" t="inlineStr"/>
      <c r="P21" s="2" t="inlineStr">
        <is>
          <t>放回充电盒时</t>
        </is>
      </c>
      <c r="Q21" s="2" t="inlineStr">
        <is>
          <t>佩戴舒适</t>
        </is>
      </c>
      <c r="R21" s="2" t="inlineStr">
        <is>
          <t>充电盒收纳</t>
        </is>
      </c>
      <c r="S21" s="2" t="inlineStr"/>
      <c r="T21" s="2" t="inlineStr"/>
      <c r="U21" s="2" t="inlineStr">
        <is>
          <t>充电盒收纳&gt;怎么个不行=放不进去或合不上盖</t>
        </is>
      </c>
      <c r="V21" s="2" t="inlineStr">
        <is>
          <t>产品的事</t>
        </is>
      </c>
      <c r="W21" s="2" t="inlineStr">
        <is>
          <t>中度</t>
        </is>
      </c>
      <c r="X21" s="2" t="inlineStr">
        <is>
          <t>差评</t>
        </is>
      </c>
    </row>
    <row r="22">
      <c r="A22" s="2" t="inlineStr">
        <is>
          <t>21</t>
        </is>
      </c>
      <c r="B22" s="2" t="inlineStr">
        <is>
          <t>SAMPLE-RV-0026</t>
        </is>
      </c>
      <c r="C22" s="2" t="inlineStr">
        <is>
          <t>5</t>
        </is>
      </c>
      <c r="D22" s="2" t="inlineStr">
        <is>
          <t>US</t>
        </is>
      </c>
      <c r="E22" s="2" t="inlineStr">
        <is>
          <t>智能眼镜 硅胶防滑鼻托 背胶款 2对装</t>
        </is>
      </c>
      <c r="F22" s="2" t="inlineStr">
        <is>
          <t>A款-防滑鼻托套装(2对装)</t>
        </is>
      </c>
      <c r="G22" s="2" t="inlineStr">
        <is>
          <t>标准款-1.8mm</t>
        </is>
      </c>
      <c r="H22" s="2" t="inlineStr">
        <is>
          <t>标准款</t>
        </is>
      </c>
      <c r="I22" s="2" t="inlineStr">
        <is>
          <t>1.8mm</t>
        </is>
      </c>
      <c r="J22" s="2" t="inlineStr">
        <is>
          <t>2026-02-16</t>
        </is>
      </c>
      <c r="K22" s="2" t="inlineStr">
        <is>
          <t>2026-02</t>
        </is>
      </c>
      <c r="L22" s="2" t="inlineStr">
        <is>
          <t>否</t>
        </is>
      </c>
      <c r="M22" s="2" t="inlineStr"/>
      <c r="N22" s="2" t="inlineStr">
        <is>
          <t>Was using a band aid on the bridge before, embarrassing. These look clean and work.</t>
        </is>
      </c>
      <c r="O22" s="2" t="inlineStr">
        <is>
          <t>自己垫东西</t>
        </is>
      </c>
      <c r="P22" s="2" t="inlineStr"/>
      <c r="Q22" s="2" t="inlineStr">
        <is>
          <t>外观隐形; 防滑效果(泛指)</t>
        </is>
      </c>
      <c r="R22" s="2" t="inlineStr"/>
      <c r="S22" s="2" t="inlineStr"/>
      <c r="T22" s="2" t="inlineStr">
        <is>
          <t>外观自然度(夸)</t>
        </is>
      </c>
      <c r="U22" s="2" t="inlineStr"/>
      <c r="V22" s="2" t="inlineStr"/>
      <c r="W22" s="2" t="inlineStr"/>
      <c r="X22" s="2" t="inlineStr">
        <is>
          <t>好评</t>
        </is>
      </c>
    </row>
    <row r="23">
      <c r="A23" s="2" t="inlineStr">
        <is>
          <t>22</t>
        </is>
      </c>
      <c r="B23" s="2" t="inlineStr">
        <is>
          <t>SAMPLE-RV-0027</t>
        </is>
      </c>
      <c r="C23" s="2" t="inlineStr">
        <is>
          <t>5</t>
        </is>
      </c>
      <c r="D23" s="2" t="inlineStr">
        <is>
          <t>US</t>
        </is>
      </c>
      <c r="E23" s="2" t="inlineStr">
        <is>
          <t>智能眼镜 硅胶防滑鼻托 背胶款 2对装</t>
        </is>
      </c>
      <c r="F23" s="2" t="inlineStr">
        <is>
          <t>A款-防滑鼻托套装(2对装)</t>
        </is>
      </c>
      <c r="G23" s="2" t="inlineStr">
        <is>
          <t>标准款-1.8mm</t>
        </is>
      </c>
      <c r="H23" s="2" t="inlineStr">
        <is>
          <t>标准款</t>
        </is>
      </c>
      <c r="I23" s="2" t="inlineStr">
        <is>
          <t>1.8mm</t>
        </is>
      </c>
      <c r="J23" s="2" t="inlineStr">
        <is>
          <t>2026-02-18</t>
        </is>
      </c>
      <c r="K23" s="2" t="inlineStr">
        <is>
          <t>2026-02</t>
        </is>
      </c>
      <c r="L23" s="2" t="inlineStr">
        <is>
          <t>否</t>
        </is>
      </c>
      <c r="M23" s="2" t="inlineStr"/>
      <c r="N23" s="2" t="inlineStr">
        <is>
          <t>No slipping during my runs. Adhesive held through sweat so far.</t>
        </is>
      </c>
      <c r="O23" s="2" t="inlineStr"/>
      <c r="P23" s="2" t="inlineStr">
        <is>
          <t>运动出汗</t>
        </is>
      </c>
      <c r="Q23" s="2" t="inlineStr">
        <is>
          <t>出汗时防滑; 背胶牢固度</t>
        </is>
      </c>
      <c r="R23" s="2" t="inlineStr"/>
      <c r="S23" s="2" t="inlineStr"/>
      <c r="T23" s="2" t="inlineStr"/>
      <c r="U23" s="2" t="inlineStr">
        <is>
          <t>防滑效果(泛指)&gt;什么场合=运动</t>
        </is>
      </c>
      <c r="V23" s="2" t="inlineStr"/>
      <c r="W23" s="2" t="inlineStr"/>
      <c r="X23" s="2" t="inlineStr">
        <is>
          <t>好评</t>
        </is>
      </c>
    </row>
    <row r="24">
      <c r="A24" s="2" t="inlineStr">
        <is>
          <t>23</t>
        </is>
      </c>
      <c r="B24" s="2" t="inlineStr">
        <is>
          <t>SAMPLE-RV-0028</t>
        </is>
      </c>
      <c r="C24" s="2" t="inlineStr">
        <is>
          <t>4</t>
        </is>
      </c>
      <c r="D24" s="2" t="inlineStr">
        <is>
          <t>US</t>
        </is>
      </c>
      <c r="E24" s="2" t="inlineStr">
        <is>
          <t>智能眼镜 硅胶防滑鼻托 背胶款 2对装</t>
        </is>
      </c>
      <c r="F24" s="2" t="inlineStr">
        <is>
          <t>A款-防滑鼻托套装(2对装)</t>
        </is>
      </c>
      <c r="G24" s="2" t="inlineStr">
        <is>
          <t>大号款-2.5mm</t>
        </is>
      </c>
      <c r="H24" s="2" t="inlineStr">
        <is>
          <t>大号款</t>
        </is>
      </c>
      <c r="I24" s="2" t="inlineStr">
        <is>
          <t>2.5mm</t>
        </is>
      </c>
      <c r="J24" s="2" t="inlineStr">
        <is>
          <t>2026-02-20</t>
        </is>
      </c>
      <c r="K24" s="2" t="inlineStr">
        <is>
          <t>2026-02</t>
        </is>
      </c>
      <c r="L24" s="2" t="inlineStr">
        <is>
          <t>否</t>
        </is>
      </c>
      <c r="M24" s="2" t="inlineStr"/>
      <c r="N24" s="2" t="inlineStr">
        <is>
          <t>Good product. Height is perfect for me. Wish they were a touch narrower.</t>
        </is>
      </c>
      <c r="O24" s="2" t="inlineStr"/>
      <c r="P24" s="2" t="inlineStr"/>
      <c r="Q24" s="2" t="inlineStr">
        <is>
          <t>整体高度</t>
        </is>
      </c>
      <c r="R24" s="2" t="inlineStr">
        <is>
          <t>宽度与覆盖:偏宽</t>
        </is>
      </c>
      <c r="S24" s="2" t="inlineStr"/>
      <c r="T24" s="2" t="inlineStr"/>
      <c r="U24" s="2" t="inlineStr"/>
      <c r="V24" s="2" t="inlineStr">
        <is>
          <t>产品的事</t>
        </is>
      </c>
      <c r="W24" s="2" t="inlineStr">
        <is>
          <t>轻度</t>
        </is>
      </c>
      <c r="X24" s="2" t="inlineStr">
        <is>
          <t>好评</t>
        </is>
      </c>
    </row>
    <row r="25">
      <c r="A25" s="2" t="inlineStr">
        <is>
          <t>24</t>
        </is>
      </c>
      <c r="B25" s="2" t="inlineStr">
        <is>
          <t>SAMPLE-RV-0029</t>
        </is>
      </c>
      <c r="C25" s="2" t="inlineStr">
        <is>
          <t>5</t>
        </is>
      </c>
      <c r="D25" s="2" t="inlineStr">
        <is>
          <t>US</t>
        </is>
      </c>
      <c r="E25" s="2" t="inlineStr">
        <is>
          <t>智能眼镜 硅胶防滑鼻托 背胶款 2对装</t>
        </is>
      </c>
      <c r="F25" s="2" t="inlineStr">
        <is>
          <t>A款-防滑鼻托套装(2对装)</t>
        </is>
      </c>
      <c r="G25" s="2" t="inlineStr">
        <is>
          <t>标准款-1.8mm</t>
        </is>
      </c>
      <c r="H25" s="2" t="inlineStr">
        <is>
          <t>标准款</t>
        </is>
      </c>
      <c r="I25" s="2" t="inlineStr">
        <is>
          <t>1.8mm</t>
        </is>
      </c>
      <c r="J25" s="2" t="inlineStr">
        <is>
          <t>2026-02-22</t>
        </is>
      </c>
      <c r="K25" s="2" t="inlineStr">
        <is>
          <t>2026-02</t>
        </is>
      </c>
      <c r="L25" s="2" t="inlineStr">
        <is>
          <t>否</t>
        </is>
      </c>
      <c r="M25" s="2" t="inlineStr"/>
      <c r="N25" s="2" t="inlineStr">
        <is>
          <t>Easy install, comfortable, glasses stay put. What else do you need.</t>
        </is>
      </c>
      <c r="O25" s="2" t="inlineStr"/>
      <c r="P25" s="2" t="inlineStr"/>
      <c r="Q25" s="2" t="inlineStr">
        <is>
          <t>安装难易; 佩戴舒适; 防滑效果(泛指)</t>
        </is>
      </c>
      <c r="R25" s="2" t="inlineStr"/>
      <c r="S25" s="2" t="inlineStr"/>
      <c r="T25" s="2" t="inlineStr"/>
      <c r="U25" s="2" t="inlineStr"/>
      <c r="V25" s="2" t="inlineStr"/>
      <c r="W25" s="2" t="inlineStr"/>
      <c r="X25" s="2" t="inlineStr">
        <is>
          <t>好评</t>
        </is>
      </c>
    </row>
    <row r="26">
      <c r="A26" s="2" t="inlineStr">
        <is>
          <t>25</t>
        </is>
      </c>
      <c r="B26" s="2" t="inlineStr">
        <is>
          <t>SAMPLE-RV-0030</t>
        </is>
      </c>
      <c r="C26" s="2" t="inlineStr">
        <is>
          <t>2</t>
        </is>
      </c>
      <c r="D26" s="2" t="inlineStr">
        <is>
          <t>US</t>
        </is>
      </c>
      <c r="E26" s="2" t="inlineStr">
        <is>
          <t>智能眼镜 硅胶防滑鼻托 背胶款 2对装</t>
        </is>
      </c>
      <c r="F26" s="2" t="inlineStr">
        <is>
          <t>A款-防滑鼻托套装(2对装)</t>
        </is>
      </c>
      <c r="G26" s="2" t="inlineStr">
        <is>
          <t>标准款-1.8mm</t>
        </is>
      </c>
      <c r="H26" s="2" t="inlineStr">
        <is>
          <t>标准款</t>
        </is>
      </c>
      <c r="I26" s="2" t="inlineStr">
        <is>
          <t>1.8mm</t>
        </is>
      </c>
      <c r="J26" s="2" t="inlineStr">
        <is>
          <t>2026-02-24</t>
        </is>
      </c>
      <c r="K26" s="2" t="inlineStr">
        <is>
          <t>2026-02</t>
        </is>
      </c>
      <c r="L26" s="2" t="inlineStr">
        <is>
          <t>否</t>
        </is>
      </c>
      <c r="M26" s="2" t="inlineStr"/>
      <c r="N26" s="2" t="inlineStr">
        <is>
          <t>Not enough lift for me, glasses still slide. Probably should have gone thicker.</t>
        </is>
      </c>
      <c r="O26" s="2" t="inlineStr"/>
      <c r="P26" s="2" t="inlineStr"/>
      <c r="Q26" s="2" t="inlineStr"/>
      <c r="R26" s="2" t="inlineStr">
        <is>
          <t>整体高度:偏矮; 防滑效果(泛指)</t>
        </is>
      </c>
      <c r="S26" s="2" t="inlineStr"/>
      <c r="T26" s="2" t="inlineStr"/>
      <c r="U26" s="2" t="inlineStr">
        <is>
          <t>防滑效果(泛指)&gt;什么场合=没说</t>
        </is>
      </c>
      <c r="V26" s="2" t="inlineStr">
        <is>
          <t>客户自己选错</t>
        </is>
      </c>
      <c r="W26" s="2" t="inlineStr">
        <is>
          <t>轻度</t>
        </is>
      </c>
      <c r="X26" s="2" t="inlineStr">
        <is>
          <t>差评</t>
        </is>
      </c>
    </row>
    <row r="27">
      <c r="A27" s="2" t="inlineStr">
        <is>
          <t>26</t>
        </is>
      </c>
      <c r="B27" s="2" t="inlineStr">
        <is>
          <t>SAMPLE-RV-0031</t>
        </is>
      </c>
      <c r="C27" s="2" t="inlineStr">
        <is>
          <t>5</t>
        </is>
      </c>
      <c r="D27" s="2" t="inlineStr">
        <is>
          <t>US</t>
        </is>
      </c>
      <c r="E27" s="2" t="inlineStr">
        <is>
          <t>智能眼镜 硅胶防滑鼻托 背胶款 2对装</t>
        </is>
      </c>
      <c r="F27" s="2" t="inlineStr">
        <is>
          <t>A款-防滑鼻托套装(2对装)</t>
        </is>
      </c>
      <c r="G27" s="2" t="inlineStr">
        <is>
          <t>标准款-2.5mm</t>
        </is>
      </c>
      <c r="H27" s="2" t="inlineStr">
        <is>
          <t>标准款</t>
        </is>
      </c>
      <c r="I27" s="2" t="inlineStr">
        <is>
          <t>2.5mm</t>
        </is>
      </c>
      <c r="J27" s="2" t="inlineStr">
        <is>
          <t>2026-02-26</t>
        </is>
      </c>
      <c r="K27" s="2" t="inlineStr">
        <is>
          <t>2026-02</t>
        </is>
      </c>
      <c r="L27" s="2" t="inlineStr">
        <is>
          <t>否</t>
        </is>
      </c>
      <c r="M27" s="2" t="inlineStr"/>
      <c r="N27" s="2" t="inlineStr">
        <is>
          <t>My dad loves them. He kept pushing his glasses up, now he doesn't.</t>
        </is>
      </c>
      <c r="O27" s="2" t="inlineStr">
        <is>
          <t>代买(父母)</t>
        </is>
      </c>
      <c r="P27" s="2" t="inlineStr"/>
      <c r="Q27" s="2" t="inlineStr">
        <is>
          <t>防滑效果(泛指)</t>
        </is>
      </c>
      <c r="R27" s="2" t="inlineStr"/>
      <c r="S27" s="2" t="inlineStr"/>
      <c r="T27" s="2" t="inlineStr"/>
      <c r="U27" s="2" t="inlineStr"/>
      <c r="V27" s="2" t="inlineStr"/>
      <c r="W27" s="2" t="inlineStr"/>
      <c r="X27" s="2" t="inlineStr">
        <is>
          <t>好评</t>
        </is>
      </c>
    </row>
    <row r="28">
      <c r="A28" s="2" t="inlineStr">
        <is>
          <t>27</t>
        </is>
      </c>
      <c r="B28" s="2" t="inlineStr">
        <is>
          <t>SAMPLE-RV-0032</t>
        </is>
      </c>
      <c r="C28" s="2" t="inlineStr">
        <is>
          <t>4</t>
        </is>
      </c>
      <c r="D28" s="2" t="inlineStr">
        <is>
          <t>US</t>
        </is>
      </c>
      <c r="E28" s="2" t="inlineStr">
        <is>
          <t>智能眼镜 硅胶防滑鼻托 背胶款 2对装</t>
        </is>
      </c>
      <c r="F28" s="2" t="inlineStr">
        <is>
          <t>A款-防滑鼻托套装(2对装)</t>
        </is>
      </c>
      <c r="G28" s="2" t="inlineStr">
        <is>
          <t>标准款-1.8mm</t>
        </is>
      </c>
      <c r="H28" s="2" t="inlineStr">
        <is>
          <t>标准款</t>
        </is>
      </c>
      <c r="I28" s="2" t="inlineStr">
        <is>
          <t>1.8mm</t>
        </is>
      </c>
      <c r="J28" s="2" t="inlineStr">
        <is>
          <t>2026-02-27</t>
        </is>
      </c>
      <c r="K28" s="2" t="inlineStr">
        <is>
          <t>2026-02</t>
        </is>
      </c>
      <c r="L28" s="2" t="inlineStr">
        <is>
          <t>否</t>
        </is>
      </c>
      <c r="M28" s="2" t="inlineStr"/>
      <c r="N28" s="2" t="inlineStr">
        <is>
          <t>Works. A bit expensive.</t>
        </is>
      </c>
      <c r="O28" s="2" t="inlineStr"/>
      <c r="P28" s="2" t="inlineStr"/>
      <c r="Q28" s="2" t="inlineStr">
        <is>
          <t>质量(泛指)</t>
        </is>
      </c>
      <c r="R28" s="2" t="inlineStr">
        <is>
          <t>值不值</t>
        </is>
      </c>
      <c r="S28" s="2" t="inlineStr"/>
      <c r="T28" s="2" t="inlineStr"/>
      <c r="U28" s="2" t="inlineStr"/>
      <c r="V28" s="2" t="inlineStr">
        <is>
          <t>说不清</t>
        </is>
      </c>
      <c r="W28" s="2" t="inlineStr">
        <is>
          <t>轻度</t>
        </is>
      </c>
      <c r="X28" s="2" t="inlineStr">
        <is>
          <t>中性</t>
        </is>
      </c>
    </row>
    <row r="29">
      <c r="A29" s="3" t="inlineStr">
        <is>
          <t>28</t>
        </is>
      </c>
      <c r="B29" s="3" t="inlineStr">
        <is>
          <t>SAMPLE-RV-0033</t>
        </is>
      </c>
      <c r="C29" s="3" t="inlineStr">
        <is>
          <t>5</t>
        </is>
      </c>
      <c r="D29" s="3" t="inlineStr">
        <is>
          <t>US</t>
        </is>
      </c>
      <c r="E29" s="3" t="inlineStr">
        <is>
          <t>智能眼镜 硅胶防滑鼻托 背胶款 2对装</t>
        </is>
      </c>
      <c r="F29" s="3" t="inlineStr">
        <is>
          <t>A款-防滑鼻托套装(2对装)</t>
        </is>
      </c>
      <c r="G29" s="3" t="inlineStr">
        <is>
          <t>标准款-1.8mm</t>
        </is>
      </c>
      <c r="H29" s="3" t="inlineStr">
        <is>
          <t>标准款</t>
        </is>
      </c>
      <c r="I29" s="3" t="inlineStr">
        <is>
          <t>1.8mm</t>
        </is>
      </c>
      <c r="J29" s="3" t="inlineStr">
        <is>
          <t>2026-02-14</t>
        </is>
      </c>
      <c r="K29" s="3" t="inlineStr">
        <is>
          <t>2026-02</t>
        </is>
      </c>
      <c r="L29" s="3" t="inlineStr">
        <is>
          <t>是</t>
        </is>
      </c>
      <c r="M29" s="3" t="inlineStr">
        <is>
          <t>同一天同一规格 + 5 星 + 写得特别长</t>
        </is>
      </c>
      <c r="N29" s="3" t="inlineStr">
        <is>
          <t>These nose pads are absolutely amazing and I cannot recommend them enough to everyone who owns smart glasses. The material feels premium and soft, the adhesive is incredibly strong, the height is just perfect for every nose shape, and they look completely invisible. Best purchase I have made this year without any doubt whatsoever.</t>
        </is>
      </c>
      <c r="O29" s="3" t="inlineStr"/>
      <c r="P29" s="3" t="inlineStr"/>
      <c r="Q29" s="3" t="inlineStr">
        <is>
          <t>硅胶软硬; 背胶牢固度; 整体高度; 外观隐形</t>
        </is>
      </c>
      <c r="R29" s="3" t="inlineStr"/>
      <c r="S29" s="3" t="inlineStr"/>
      <c r="T29" s="3" t="inlineStr"/>
      <c r="U29" s="3" t="inlineStr"/>
      <c r="V29" s="3" t="inlineStr"/>
      <c r="W29" s="3" t="inlineStr"/>
      <c r="X29" s="3" t="inlineStr">
        <is>
          <t>好评</t>
        </is>
      </c>
    </row>
    <row r="30">
      <c r="A30" s="3" t="inlineStr">
        <is>
          <t>29</t>
        </is>
      </c>
      <c r="B30" s="3" t="inlineStr">
        <is>
          <t>SAMPLE-RV-0034</t>
        </is>
      </c>
      <c r="C30" s="3" t="inlineStr">
        <is>
          <t>5</t>
        </is>
      </c>
      <c r="D30" s="3" t="inlineStr">
        <is>
          <t>US</t>
        </is>
      </c>
      <c r="E30" s="3" t="inlineStr">
        <is>
          <t>智能眼镜 硅胶防滑鼻托 背胶款 2对装</t>
        </is>
      </c>
      <c r="F30" s="3" t="inlineStr">
        <is>
          <t>A款-防滑鼻托套装(2对装)</t>
        </is>
      </c>
      <c r="G30" s="3" t="inlineStr">
        <is>
          <t>标准款-1.8mm</t>
        </is>
      </c>
      <c r="H30" s="3" t="inlineStr">
        <is>
          <t>标准款</t>
        </is>
      </c>
      <c r="I30" s="3" t="inlineStr">
        <is>
          <t>1.8mm</t>
        </is>
      </c>
      <c r="J30" s="3" t="inlineStr">
        <is>
          <t>2026-02-14</t>
        </is>
      </c>
      <c r="K30" s="3" t="inlineStr">
        <is>
          <t>2026-02</t>
        </is>
      </c>
      <c r="L30" s="3" t="inlineStr">
        <is>
          <t>是</t>
        </is>
      </c>
      <c r="M30" s="3" t="inlineStr">
        <is>
          <t>同一天同一规格 + 5 星 + 写得特别长</t>
        </is>
      </c>
      <c r="N30" s="3" t="inlineStr">
        <is>
          <t>Wonderful product from a wonderful seller, I am so impressed with everything about it from the packaging to the performance. My glasses never slide anymore, the comfort is unbelievable, the quality is top notch and the price is very fair for what you get. I will be buying more sets for my whole family very soon.</t>
        </is>
      </c>
      <c r="O30" s="3" t="inlineStr"/>
      <c r="P30" s="3" t="inlineStr"/>
      <c r="Q30" s="3" t="inlineStr">
        <is>
          <t>防滑效果(泛指); 佩戴舒适; 质量(泛指); 值不值</t>
        </is>
      </c>
      <c r="R30" s="3" t="inlineStr"/>
      <c r="S30" s="3" t="inlineStr"/>
      <c r="T30" s="3" t="inlineStr">
        <is>
          <t>收货第一印象(夸)</t>
        </is>
      </c>
      <c r="U30" s="3" t="inlineStr"/>
      <c r="V30" s="3" t="inlineStr"/>
      <c r="W30" s="3" t="inlineStr"/>
      <c r="X30" s="3" t="inlineStr">
        <is>
          <t>好评</t>
        </is>
      </c>
    </row>
    <row r="31">
      <c r="A31" s="3" t="inlineStr">
        <is>
          <t>30</t>
        </is>
      </c>
      <c r="B31" s="3" t="inlineStr">
        <is>
          <t>SAMPLE-RV-0035</t>
        </is>
      </c>
      <c r="C31" s="3" t="inlineStr">
        <is>
          <t>5</t>
        </is>
      </c>
      <c r="D31" s="3" t="inlineStr">
        <is>
          <t>US</t>
        </is>
      </c>
      <c r="E31" s="3" t="inlineStr">
        <is>
          <t>智能眼镜 硅胶防滑鼻托 背胶款 2对装</t>
        </is>
      </c>
      <c r="F31" s="3" t="inlineStr">
        <is>
          <t>A款-防滑鼻托套装(2对装)</t>
        </is>
      </c>
      <c r="G31" s="3" t="inlineStr">
        <is>
          <t>标准款-1.8mm</t>
        </is>
      </c>
      <c r="H31" s="3" t="inlineStr">
        <is>
          <t>标准款</t>
        </is>
      </c>
      <c r="I31" s="3" t="inlineStr">
        <is>
          <t>1.8mm</t>
        </is>
      </c>
      <c r="J31" s="3" t="inlineStr">
        <is>
          <t>2026-02-14</t>
        </is>
      </c>
      <c r="K31" s="3" t="inlineStr">
        <is>
          <t>2026-02</t>
        </is>
      </c>
      <c r="L31" s="3" t="inlineStr">
        <is>
          <t>是</t>
        </is>
      </c>
      <c r="M31" s="3" t="inlineStr">
        <is>
          <t>同一天同一规格 + 5 星 + 写得特别长</t>
        </is>
      </c>
      <c r="N31" s="3" t="inlineStr">
        <is>
          <t>I have tried many different nose pads for my smart glasses and nothing comes close to this set, it is simply the best on the market today. Perfect fit, perfect comfort, perfect adhesive, perfect look, there is honestly nothing I would change about it. Do yourself a favor and order these right now, you will thank me later.</t>
        </is>
      </c>
      <c r="O31" s="3" t="inlineStr">
        <is>
          <t>其他品牌鼻托</t>
        </is>
      </c>
      <c r="P31" s="3" t="inlineStr"/>
      <c r="Q31" s="3" t="inlineStr">
        <is>
          <t>佩戴舒适; 背胶牢固度; 外观隐形; 质量(泛指)</t>
        </is>
      </c>
      <c r="R31" s="3" t="inlineStr"/>
      <c r="S31" s="3" t="inlineStr"/>
      <c r="T31" s="3" t="inlineStr"/>
      <c r="U31" s="3" t="inlineStr"/>
      <c r="V31" s="3" t="inlineStr"/>
      <c r="W31" s="3" t="inlineStr"/>
      <c r="X31" s="3" t="inlineStr">
        <is>
          <t>好评</t>
        </is>
      </c>
    </row>
    <row r="32">
      <c r="A32" s="3" t="inlineStr">
        <is>
          <t>31</t>
        </is>
      </c>
      <c r="B32" s="3" t="inlineStr">
        <is>
          <t>SAMPLE-RV-0036</t>
        </is>
      </c>
      <c r="C32" s="3" t="inlineStr">
        <is>
          <t>5</t>
        </is>
      </c>
      <c r="D32" s="3" t="inlineStr">
        <is>
          <t>US</t>
        </is>
      </c>
      <c r="E32" s="3" t="inlineStr">
        <is>
          <t>智能眼镜 硅胶防滑鼻托 背胶款 2对装</t>
        </is>
      </c>
      <c r="F32" s="3" t="inlineStr">
        <is>
          <t>A款-防滑鼻托套装(2对装)</t>
        </is>
      </c>
      <c r="G32" s="3" t="inlineStr">
        <is>
          <t>标准款-1.8mm</t>
        </is>
      </c>
      <c r="H32" s="3" t="inlineStr">
        <is>
          <t>标准款</t>
        </is>
      </c>
      <c r="I32" s="3" t="inlineStr">
        <is>
          <t>1.8mm</t>
        </is>
      </c>
      <c r="J32" s="3" t="inlineStr">
        <is>
          <t>2026-02-14</t>
        </is>
      </c>
      <c r="K32" s="3" t="inlineStr">
        <is>
          <t>2026-02</t>
        </is>
      </c>
      <c r="L32" s="3" t="inlineStr">
        <is>
          <t>是</t>
        </is>
      </c>
      <c r="M32" s="3" t="inlineStr">
        <is>
          <t>同一天同一规格 + 5 星 + 写得特别长</t>
        </is>
      </c>
      <c r="N32" s="3" t="inlineStr">
        <is>
          <t>Outstanding quality and outstanding value, this product exceeded every expectation I had and then some. Installation was effortless, the pads are soft and durable, they stay on through everything and they make my glasses feel like they were custom made for my face. Ten out of ten, a must have accessory for all smart glasses owners.</t>
        </is>
      </c>
      <c r="O32" s="3" t="inlineStr"/>
      <c r="P32" s="3" t="inlineStr"/>
      <c r="Q32" s="3" t="inlineStr">
        <is>
          <t>安装难易; 硅胶软硬; 背胶牢固度; 值不值</t>
        </is>
      </c>
      <c r="R32" s="3" t="inlineStr"/>
      <c r="S32" s="3" t="inlineStr"/>
      <c r="T32" s="3" t="inlineStr"/>
      <c r="U32" s="3" t="inlineStr"/>
      <c r="V32" s="3" t="inlineStr"/>
      <c r="W32" s="3" t="inlineStr"/>
      <c r="X32" s="3" t="inlineStr">
        <is>
          <t>好评</t>
        </is>
      </c>
    </row>
    <row r="33">
      <c r="A33" s="2" t="inlineStr">
        <is>
          <t>32</t>
        </is>
      </c>
      <c r="B33" s="2" t="inlineStr">
        <is>
          <t>SAMPLE-RV-0037</t>
        </is>
      </c>
      <c r="C33" s="2" t="inlineStr">
        <is>
          <t>5</t>
        </is>
      </c>
      <c r="D33" s="2" t="inlineStr">
        <is>
          <t>US</t>
        </is>
      </c>
      <c r="E33" s="2" t="inlineStr">
        <is>
          <t>智能眼镜 硅胶防滑鼻托 背胶款 2对装</t>
        </is>
      </c>
      <c r="F33" s="2" t="inlineStr">
        <is>
          <t>A款-防滑鼻托套装(2对装)</t>
        </is>
      </c>
      <c r="G33" s="2" t="inlineStr">
        <is>
          <t>标准款-1.8mm</t>
        </is>
      </c>
      <c r="H33" s="2" t="inlineStr">
        <is>
          <t>标准款</t>
        </is>
      </c>
      <c r="I33" s="2" t="inlineStr">
        <is>
          <t>1.8mm</t>
        </is>
      </c>
      <c r="J33" s="2" t="inlineStr">
        <is>
          <t>2026-03-01</t>
        </is>
      </c>
      <c r="K33" s="2" t="inlineStr">
        <is>
          <t>2026-03</t>
        </is>
      </c>
      <c r="L33" s="2" t="inlineStr">
        <is>
          <t>否</t>
        </is>
      </c>
      <c r="M33" s="2" t="inlineStr"/>
      <c r="N33" s="2" t="inlineStr">
        <is>
          <t>Stay put all day at work. I wear a headset too and they do not shift.</t>
        </is>
      </c>
      <c r="O33" s="2" t="inlineStr"/>
      <c r="P33" s="2" t="inlineStr">
        <is>
          <t>全天佩戴</t>
        </is>
      </c>
      <c r="Q33" s="2" t="inlineStr">
        <is>
          <t>防滑效果(泛指)</t>
        </is>
      </c>
      <c r="R33" s="2" t="inlineStr"/>
      <c r="S33" s="2" t="inlineStr"/>
      <c r="T33" s="2" t="inlineStr"/>
      <c r="U33" s="2" t="inlineStr"/>
      <c r="V33" s="2" t="inlineStr"/>
      <c r="W33" s="2" t="inlineStr"/>
      <c r="X33" s="2" t="inlineStr">
        <is>
          <t>好评</t>
        </is>
      </c>
    </row>
    <row r="34">
      <c r="A34" s="2" t="inlineStr">
        <is>
          <t>33</t>
        </is>
      </c>
      <c r="B34" s="2" t="inlineStr">
        <is>
          <t>SAMPLE-RV-0038</t>
        </is>
      </c>
      <c r="C34" s="2" t="inlineStr">
        <is>
          <t>4</t>
        </is>
      </c>
      <c r="D34" s="2" t="inlineStr">
        <is>
          <t>US</t>
        </is>
      </c>
      <c r="E34" s="2" t="inlineStr">
        <is>
          <t>智能眼镜 硅胶防滑鼻托 背胶款 2对装</t>
        </is>
      </c>
      <c r="F34" s="2" t="inlineStr">
        <is>
          <t>A款-防滑鼻托套装(2对装)</t>
        </is>
      </c>
      <c r="G34" s="2" t="inlineStr">
        <is>
          <t>标准款-2.5mm</t>
        </is>
      </c>
      <c r="H34" s="2" t="inlineStr">
        <is>
          <t>标准款</t>
        </is>
      </c>
      <c r="I34" s="2" t="inlineStr">
        <is>
          <t>2.5mm</t>
        </is>
      </c>
      <c r="J34" s="2" t="inlineStr">
        <is>
          <t>2026-03-03</t>
        </is>
      </c>
      <c r="K34" s="2" t="inlineStr">
        <is>
          <t>2026-03</t>
        </is>
      </c>
      <c r="L34" s="2" t="inlineStr">
        <is>
          <t>否</t>
        </is>
      </c>
      <c r="M34" s="2" t="inlineStr"/>
      <c r="N34" s="2" t="inlineStr">
        <is>
          <t>Height is great, comfort is great. They stick out past the nose pad a bit, visible from the front in bright light.</t>
        </is>
      </c>
      <c r="O34" s="2" t="inlineStr"/>
      <c r="P34" s="2" t="inlineStr"/>
      <c r="Q34" s="2" t="inlineStr">
        <is>
          <t>整体高度; 佩戴舒适</t>
        </is>
      </c>
      <c r="R34" s="2" t="inlineStr">
        <is>
          <t>宽度与覆盖:偏宽; 外观隐形</t>
        </is>
      </c>
      <c r="S34" s="2" t="inlineStr"/>
      <c r="T34" s="2" t="inlineStr"/>
      <c r="U34" s="2" t="inlineStr"/>
      <c r="V34" s="2" t="inlineStr">
        <is>
          <t>产品的事</t>
        </is>
      </c>
      <c r="W34" s="2" t="inlineStr">
        <is>
          <t>轻度</t>
        </is>
      </c>
      <c r="X34" s="2" t="inlineStr">
        <is>
          <t>好评</t>
        </is>
      </c>
    </row>
    <row r="35">
      <c r="A35" s="2" t="inlineStr">
        <is>
          <t>34</t>
        </is>
      </c>
      <c r="B35" s="2" t="inlineStr">
        <is>
          <t>SAMPLE-RV-0039</t>
        </is>
      </c>
      <c r="C35" s="2" t="inlineStr">
        <is>
          <t>5</t>
        </is>
      </c>
      <c r="D35" s="2" t="inlineStr">
        <is>
          <t>US</t>
        </is>
      </c>
      <c r="E35" s="2" t="inlineStr">
        <is>
          <t>智能眼镜 硅胶防滑鼻托 背胶款 2对装</t>
        </is>
      </c>
      <c r="F35" s="2" t="inlineStr">
        <is>
          <t>A款-防滑鼻托套装(2对装)</t>
        </is>
      </c>
      <c r="G35" s="2" t="inlineStr">
        <is>
          <t>大号款-1.8mm</t>
        </is>
      </c>
      <c r="H35" s="2" t="inlineStr">
        <is>
          <t>大号款</t>
        </is>
      </c>
      <c r="I35" s="2" t="inlineStr">
        <is>
          <t>1.8mm</t>
        </is>
      </c>
      <c r="J35" s="2" t="inlineStr">
        <is>
          <t>2026-03-05</t>
        </is>
      </c>
      <c r="K35" s="2" t="inlineStr">
        <is>
          <t>2026-03</t>
        </is>
      </c>
      <c r="L35" s="2" t="inlineStr">
        <is>
          <t>否</t>
        </is>
      </c>
      <c r="M35" s="2" t="inlineStr"/>
      <c r="N35" s="2" t="inlineStr">
        <is>
          <t>Comfortable and they fit my large frames. Charging case closes fine.</t>
        </is>
      </c>
      <c r="O35" s="2" t="inlineStr"/>
      <c r="P35" s="2" t="inlineStr">
        <is>
          <t>放回充电盒时</t>
        </is>
      </c>
      <c r="Q35" s="2" t="inlineStr">
        <is>
          <t>佩戴舒适; 机型适配; 充电盒收纳</t>
        </is>
      </c>
      <c r="R35" s="2" t="inlineStr"/>
      <c r="S35" s="2" t="inlineStr"/>
      <c r="T35" s="2" t="inlineStr"/>
      <c r="U35" s="2" t="inlineStr"/>
      <c r="V35" s="2" t="inlineStr"/>
      <c r="W35" s="2" t="inlineStr"/>
      <c r="X35" s="2" t="inlineStr">
        <is>
          <t>好评</t>
        </is>
      </c>
    </row>
    <row r="36">
      <c r="A36" s="2" t="inlineStr">
        <is>
          <t>35</t>
        </is>
      </c>
      <c r="B36" s="2" t="inlineStr">
        <is>
          <t>SAMPLE-RV-0040</t>
        </is>
      </c>
      <c r="C36" s="2" t="inlineStr">
        <is>
          <t>2</t>
        </is>
      </c>
      <c r="D36" s="2" t="inlineStr">
        <is>
          <t>US</t>
        </is>
      </c>
      <c r="E36" s="2" t="inlineStr">
        <is>
          <t>智能眼镜 硅胶防滑鼻托 背胶款 2对装</t>
        </is>
      </c>
      <c r="F36" s="2" t="inlineStr">
        <is>
          <t>A款-防滑鼻托套装(2对装)</t>
        </is>
      </c>
      <c r="G36" s="2" t="inlineStr">
        <is>
          <t>标准款-2.5mm</t>
        </is>
      </c>
      <c r="H36" s="2" t="inlineStr">
        <is>
          <t>标准款</t>
        </is>
      </c>
      <c r="I36" s="2" t="inlineStr">
        <is>
          <t>2.5mm</t>
        </is>
      </c>
      <c r="J36" s="2" t="inlineStr">
        <is>
          <t>2026-03-08</t>
        </is>
      </c>
      <c r="K36" s="2" t="inlineStr">
        <is>
          <t>2026-03</t>
        </is>
      </c>
      <c r="L36" s="2" t="inlineStr">
        <is>
          <t>否</t>
        </is>
      </c>
      <c r="M36" s="2" t="inlineStr"/>
      <c r="N36" s="2" t="inlineStr">
        <is>
          <t>Does not fit in the charging case. Had to choose between charging my glasses and wearing the pads.</t>
        </is>
      </c>
      <c r="O36" s="2" t="inlineStr"/>
      <c r="P36" s="2" t="inlineStr">
        <is>
          <t>放回充电盒时</t>
        </is>
      </c>
      <c r="Q36" s="2" t="inlineStr"/>
      <c r="R36" s="2" t="inlineStr">
        <is>
          <t>充电盒收纳</t>
        </is>
      </c>
      <c r="S36" s="2" t="inlineStr"/>
      <c r="T36" s="2" t="inlineStr"/>
      <c r="U36" s="2" t="inlineStr">
        <is>
          <t>充电盒收纳&gt;怎么个不行=放不进去或合不上盖</t>
        </is>
      </c>
      <c r="V36" s="2" t="inlineStr">
        <is>
          <t>产品的事</t>
        </is>
      </c>
      <c r="W36" s="2" t="inlineStr">
        <is>
          <t>中度</t>
        </is>
      </c>
      <c r="X36" s="2" t="inlineStr">
        <is>
          <t>差评</t>
        </is>
      </c>
    </row>
    <row r="37">
      <c r="A37" s="2" t="inlineStr">
        <is>
          <t>36</t>
        </is>
      </c>
      <c r="B37" s="2" t="inlineStr">
        <is>
          <t>SAMPLE-RV-0041</t>
        </is>
      </c>
      <c r="C37" s="2" t="inlineStr">
        <is>
          <t>5</t>
        </is>
      </c>
      <c r="D37" s="2" t="inlineStr">
        <is>
          <t>US</t>
        </is>
      </c>
      <c r="E37" s="2" t="inlineStr">
        <is>
          <t>智能眼镜 硅胶防滑鼻托 背胶款 2对装</t>
        </is>
      </c>
      <c r="F37" s="2" t="inlineStr">
        <is>
          <t>A款-防滑鼻托套装(2对装)</t>
        </is>
      </c>
      <c r="G37" s="2" t="inlineStr">
        <is>
          <t>标准款-1.8mm</t>
        </is>
      </c>
      <c r="H37" s="2" t="inlineStr">
        <is>
          <t>标准款</t>
        </is>
      </c>
      <c r="I37" s="2" t="inlineStr">
        <is>
          <t>1.8mm</t>
        </is>
      </c>
      <c r="J37" s="2" t="inlineStr">
        <is>
          <t>2026-03-10</t>
        </is>
      </c>
      <c r="K37" s="2" t="inlineStr">
        <is>
          <t>2026-03</t>
        </is>
      </c>
      <c r="L37" s="2" t="inlineStr">
        <is>
          <t>否</t>
        </is>
      </c>
      <c r="M37" s="2" t="inlineStr"/>
      <c r="N37" s="2" t="inlineStr">
        <is>
          <t>Simple fix for a real problem. No more sliding when I cook or look down.</t>
        </is>
      </c>
      <c r="O37" s="2" t="inlineStr"/>
      <c r="P37" s="2" t="inlineStr"/>
      <c r="Q37" s="2" t="inlineStr">
        <is>
          <t>防滑效果(泛指)</t>
        </is>
      </c>
      <c r="R37" s="2" t="inlineStr"/>
      <c r="S37" s="2" t="inlineStr"/>
      <c r="T37" s="2" t="inlineStr"/>
      <c r="U37" s="2" t="inlineStr">
        <is>
          <t>防滑效果(泛指)&gt;什么场合=低头</t>
        </is>
      </c>
      <c r="V37" s="2" t="inlineStr"/>
      <c r="W37" s="2" t="inlineStr"/>
      <c r="X37" s="2" t="inlineStr">
        <is>
          <t>好评</t>
        </is>
      </c>
    </row>
    <row r="38">
      <c r="A38" s="2" t="inlineStr">
        <is>
          <t>37</t>
        </is>
      </c>
      <c r="B38" s="2" t="inlineStr">
        <is>
          <t>SAMPLE-RV-0042</t>
        </is>
      </c>
      <c r="C38" s="2" t="inlineStr">
        <is>
          <t>3</t>
        </is>
      </c>
      <c r="D38" s="2" t="inlineStr">
        <is>
          <t>US</t>
        </is>
      </c>
      <c r="E38" s="2" t="inlineStr">
        <is>
          <t>智能眼镜 硅胶防滑鼻托 背胶款 2对装</t>
        </is>
      </c>
      <c r="F38" s="2" t="inlineStr">
        <is>
          <t>A款-防滑鼻托套装(2对装)</t>
        </is>
      </c>
      <c r="G38" s="2" t="inlineStr">
        <is>
          <t>大号款-2.5mm</t>
        </is>
      </c>
      <c r="H38" s="2" t="inlineStr">
        <is>
          <t>大号款</t>
        </is>
      </c>
      <c r="I38" s="2" t="inlineStr">
        <is>
          <t>2.5mm</t>
        </is>
      </c>
      <c r="J38" s="2" t="inlineStr">
        <is>
          <t>2026-03-12</t>
        </is>
      </c>
      <c r="K38" s="2" t="inlineStr">
        <is>
          <t>2026-03</t>
        </is>
      </c>
      <c r="L38" s="2" t="inlineStr">
        <is>
          <t>否</t>
        </is>
      </c>
      <c r="M38" s="2" t="inlineStr"/>
      <c r="N38" s="2" t="inlineStr">
        <is>
          <t>Stops the slide. But the pads are wider than the frame pad and it looks like I stuck tape on my glasses. Function over form I guess.</t>
        </is>
      </c>
      <c r="O38" s="2" t="inlineStr"/>
      <c r="P38" s="2" t="inlineStr"/>
      <c r="Q38" s="2" t="inlineStr">
        <is>
          <t>防滑效果(泛指)</t>
        </is>
      </c>
      <c r="R38" s="2" t="inlineStr">
        <is>
          <t>宽度与覆盖:偏宽; 外观隐形</t>
        </is>
      </c>
      <c r="S38" s="2" t="inlineStr"/>
      <c r="T38" s="2" t="inlineStr">
        <is>
          <t>外观自然度</t>
        </is>
      </c>
      <c r="U38" s="2" t="inlineStr"/>
      <c r="V38" s="2" t="inlineStr">
        <is>
          <t>产品的事</t>
        </is>
      </c>
      <c r="W38" s="2" t="inlineStr">
        <is>
          <t>中度</t>
        </is>
      </c>
      <c r="X38" s="2" t="inlineStr">
        <is>
          <t>中性</t>
        </is>
      </c>
    </row>
    <row r="39">
      <c r="A39" s="2" t="inlineStr">
        <is>
          <t>38</t>
        </is>
      </c>
      <c r="B39" s="2" t="inlineStr">
        <is>
          <t>SAMPLE-RV-0043</t>
        </is>
      </c>
      <c r="C39" s="2" t="inlineStr">
        <is>
          <t>5</t>
        </is>
      </c>
      <c r="D39" s="2" t="inlineStr">
        <is>
          <t>US</t>
        </is>
      </c>
      <c r="E39" s="2" t="inlineStr">
        <is>
          <t>智能眼镜 硅胶防滑鼻托 背胶款 2对装</t>
        </is>
      </c>
      <c r="F39" s="2" t="inlineStr">
        <is>
          <t>A款-防滑鼻托套装(2对装)</t>
        </is>
      </c>
      <c r="G39" s="2" t="inlineStr">
        <is>
          <t>标准款-1.8mm</t>
        </is>
      </c>
      <c r="H39" s="2" t="inlineStr">
        <is>
          <t>标准款</t>
        </is>
      </c>
      <c r="I39" s="2" t="inlineStr">
        <is>
          <t>1.8mm</t>
        </is>
      </c>
      <c r="J39" s="2" t="inlineStr">
        <is>
          <t>2026-03-15</t>
        </is>
      </c>
      <c r="K39" s="2" t="inlineStr">
        <is>
          <t>2026-03</t>
        </is>
      </c>
      <c r="L39" s="2" t="inlineStr">
        <is>
          <t>否</t>
        </is>
      </c>
      <c r="M39" s="2" t="inlineStr"/>
      <c r="N39" s="2" t="inlineStr">
        <is>
          <t>Soft, clear, and comfy. Took them off once to reposition and they came off clean, no residue.</t>
        </is>
      </c>
      <c r="O39" s="2" t="inlineStr"/>
      <c r="P39" s="2" t="inlineStr"/>
      <c r="Q39" s="2" t="inlineStr">
        <is>
          <t>硅胶软硬; 佩戴舒适; 撕下后留胶</t>
        </is>
      </c>
      <c r="R39" s="2" t="inlineStr"/>
      <c r="S39" s="2" t="inlineStr"/>
      <c r="T39" s="2" t="inlineStr"/>
      <c r="U39" s="2" t="inlineStr"/>
      <c r="V39" s="2" t="inlineStr"/>
      <c r="W39" s="2" t="inlineStr"/>
      <c r="X39" s="2" t="inlineStr">
        <is>
          <t>好评</t>
        </is>
      </c>
    </row>
    <row r="40">
      <c r="A40" s="2" t="inlineStr">
        <is>
          <t>39</t>
        </is>
      </c>
      <c r="B40" s="2" t="inlineStr">
        <is>
          <t>SAMPLE-RV-0044</t>
        </is>
      </c>
      <c r="C40" s="2" t="inlineStr">
        <is>
          <t>5</t>
        </is>
      </c>
      <c r="D40" s="2" t="inlineStr">
        <is>
          <t>US</t>
        </is>
      </c>
      <c r="E40" s="2" t="inlineStr">
        <is>
          <t>智能眼镜 硅胶防滑鼻托 背胶款 2对装</t>
        </is>
      </c>
      <c r="F40" s="2" t="inlineStr">
        <is>
          <t>A款-防滑鼻托套装(2对装)</t>
        </is>
      </c>
      <c r="G40" s="2" t="inlineStr">
        <is>
          <t>标准款-2.5mm</t>
        </is>
      </c>
      <c r="H40" s="2" t="inlineStr">
        <is>
          <t>标准款</t>
        </is>
      </c>
      <c r="I40" s="2" t="inlineStr">
        <is>
          <t>2.5mm</t>
        </is>
      </c>
      <c r="J40" s="2" t="inlineStr">
        <is>
          <t>2026-03-18</t>
        </is>
      </c>
      <c r="K40" s="2" t="inlineStr">
        <is>
          <t>2026-03</t>
        </is>
      </c>
      <c r="L40" s="2" t="inlineStr">
        <is>
          <t>否</t>
        </is>
      </c>
      <c r="M40" s="2" t="inlineStr"/>
      <c r="N40" s="2" t="inlineStr">
        <is>
          <t>I have a very flat bridge and these are the first thing that worked. Love them.</t>
        </is>
      </c>
      <c r="O40" s="2" t="inlineStr"/>
      <c r="P40" s="2" t="inlineStr"/>
      <c r="Q40" s="2" t="inlineStr">
        <is>
          <t>整体高度</t>
        </is>
      </c>
      <c r="R40" s="2" t="inlineStr"/>
      <c r="S40" s="2" t="inlineStr"/>
      <c r="T40" s="2" t="inlineStr"/>
      <c r="U40" s="2" t="inlineStr"/>
      <c r="V40" s="2" t="inlineStr"/>
      <c r="W40" s="2" t="inlineStr"/>
      <c r="X40" s="2" t="inlineStr">
        <is>
          <t>好评</t>
        </is>
      </c>
    </row>
    <row r="41">
      <c r="A41" s="2" t="inlineStr">
        <is>
          <t>40</t>
        </is>
      </c>
      <c r="B41" s="2" t="inlineStr">
        <is>
          <t>SAMPLE-RV-0045</t>
        </is>
      </c>
      <c r="C41" s="2" t="inlineStr">
        <is>
          <t>1</t>
        </is>
      </c>
      <c r="D41" s="2" t="inlineStr">
        <is>
          <t>US</t>
        </is>
      </c>
      <c r="E41" s="2" t="inlineStr">
        <is>
          <t>智能眼镜 硅胶防滑鼻托 背胶款 2对装</t>
        </is>
      </c>
      <c r="F41" s="2" t="inlineStr">
        <is>
          <t>A款-防滑鼻托套装(2对装)</t>
        </is>
      </c>
      <c r="G41" s="2" t="inlineStr">
        <is>
          <t>标准款-2.5mm</t>
        </is>
      </c>
      <c r="H41" s="2" t="inlineStr">
        <is>
          <t>标准款</t>
        </is>
      </c>
      <c r="I41" s="2" t="inlineStr">
        <is>
          <t>2.5mm</t>
        </is>
      </c>
      <c r="J41" s="2" t="inlineStr">
        <is>
          <t>2026-03-20</t>
        </is>
      </c>
      <c r="K41" s="2" t="inlineStr">
        <is>
          <t>2026-03</t>
        </is>
      </c>
      <c r="L41" s="2" t="inlineStr">
        <is>
          <t>否</t>
        </is>
      </c>
      <c r="M41" s="2" t="inlineStr"/>
      <c r="N41" s="2" t="inlineStr">
        <is>
          <t>5 stars for the idea, 1 star for reality. With pads on the glasses do not charge in the case. Nowhere does the page warn you.</t>
        </is>
      </c>
      <c r="O41" s="2" t="inlineStr"/>
      <c r="P41" s="2" t="inlineStr">
        <is>
          <t>放回充电盒时</t>
        </is>
      </c>
      <c r="Q41" s="2" t="inlineStr"/>
      <c r="R41" s="2" t="inlineStr">
        <is>
          <t>装上后充电</t>
        </is>
      </c>
      <c r="S41" s="2" t="inlineStr">
        <is>
          <t>装上后充电</t>
        </is>
      </c>
      <c r="T41" s="2" t="inlineStr"/>
      <c r="U41" s="2" t="inlineStr"/>
      <c r="V41" s="2" t="inlineStr">
        <is>
          <t>页面的事</t>
        </is>
      </c>
      <c r="W41" s="2" t="inlineStr">
        <is>
          <t>中度</t>
        </is>
      </c>
      <c r="X41" s="2" t="inlineStr">
        <is>
          <t>差评</t>
        </is>
      </c>
    </row>
    <row r="42">
      <c r="A42" s="2" t="inlineStr">
        <is>
          <t>41</t>
        </is>
      </c>
      <c r="B42" s="2" t="inlineStr">
        <is>
          <t>SAMPLE-RV-0046</t>
        </is>
      </c>
      <c r="C42" s="2" t="inlineStr">
        <is>
          <t>4</t>
        </is>
      </c>
      <c r="D42" s="2" t="inlineStr">
        <is>
          <t>US</t>
        </is>
      </c>
      <c r="E42" s="2" t="inlineStr">
        <is>
          <t>智能眼镜 硅胶防滑鼻托 背胶款 2对装</t>
        </is>
      </c>
      <c r="F42" s="2" t="inlineStr">
        <is>
          <t>A款-防滑鼻托套装(2对装)</t>
        </is>
      </c>
      <c r="G42" s="2" t="inlineStr">
        <is>
          <t>标准款-1.8mm</t>
        </is>
      </c>
      <c r="H42" s="2" t="inlineStr">
        <is>
          <t>标准款</t>
        </is>
      </c>
      <c r="I42" s="2" t="inlineStr">
        <is>
          <t>1.8mm</t>
        </is>
      </c>
      <c r="J42" s="2" t="inlineStr">
        <is>
          <t>2026-03-23</t>
        </is>
      </c>
      <c r="K42" s="2" t="inlineStr">
        <is>
          <t>2026-03</t>
        </is>
      </c>
      <c r="L42" s="2" t="inlineStr">
        <is>
          <t>否</t>
        </is>
      </c>
      <c r="M42" s="2" t="inlineStr"/>
      <c r="N42" s="2" t="inlineStr">
        <is>
          <t>Good. Would be five stars if they matched the width of the original pads.</t>
        </is>
      </c>
      <c r="O42" s="2" t="inlineStr">
        <is>
          <t>原装鼻托</t>
        </is>
      </c>
      <c r="P42" s="2" t="inlineStr"/>
      <c r="Q42" s="2" t="inlineStr">
        <is>
          <t>质量(泛指)</t>
        </is>
      </c>
      <c r="R42" s="2" t="inlineStr">
        <is>
          <t>宽度与覆盖:偏宽</t>
        </is>
      </c>
      <c r="S42" s="2" t="inlineStr"/>
      <c r="T42" s="2" t="inlineStr"/>
      <c r="U42" s="2" t="inlineStr"/>
      <c r="V42" s="2" t="inlineStr">
        <is>
          <t>产品的事</t>
        </is>
      </c>
      <c r="W42" s="2" t="inlineStr">
        <is>
          <t>轻度</t>
        </is>
      </c>
      <c r="X42" s="2" t="inlineStr">
        <is>
          <t>好评</t>
        </is>
      </c>
    </row>
    <row r="43">
      <c r="A43" s="2" t="inlineStr">
        <is>
          <t>42</t>
        </is>
      </c>
      <c r="B43" s="2" t="inlineStr">
        <is>
          <t>SAMPLE-RV-0047</t>
        </is>
      </c>
      <c r="C43" s="2" t="inlineStr">
        <is>
          <t>5</t>
        </is>
      </c>
      <c r="D43" s="2" t="inlineStr">
        <is>
          <t>US</t>
        </is>
      </c>
      <c r="E43" s="2" t="inlineStr">
        <is>
          <t>智能眼镜 硅胶防滑鼻托 背胶款 2对装</t>
        </is>
      </c>
      <c r="F43" s="2" t="inlineStr">
        <is>
          <t>A款-防滑鼻托套装(2对装)</t>
        </is>
      </c>
      <c r="G43" s="2" t="inlineStr">
        <is>
          <t>标准款-1.8mm</t>
        </is>
      </c>
      <c r="H43" s="2" t="inlineStr">
        <is>
          <t>标准款</t>
        </is>
      </c>
      <c r="I43" s="2" t="inlineStr">
        <is>
          <t>1.8mm</t>
        </is>
      </c>
      <c r="J43" s="2" t="inlineStr">
        <is>
          <t>2026-03-26</t>
        </is>
      </c>
      <c r="K43" s="2" t="inlineStr">
        <is>
          <t>2026-03</t>
        </is>
      </c>
      <c r="L43" s="2" t="inlineStr">
        <is>
          <t>否</t>
        </is>
      </c>
      <c r="M43" s="2" t="inlineStr"/>
      <c r="N43" s="2" t="inlineStr">
        <is>
          <t>Put them on in a minute. Comfortable right away.</t>
        </is>
      </c>
      <c r="O43" s="2" t="inlineStr"/>
      <c r="P43" s="2" t="inlineStr"/>
      <c r="Q43" s="2" t="inlineStr">
        <is>
          <t>安装难易; 佩戴舒适</t>
        </is>
      </c>
      <c r="R43" s="2" t="inlineStr"/>
      <c r="S43" s="2" t="inlineStr"/>
      <c r="T43" s="2" t="inlineStr"/>
      <c r="U43" s="2" t="inlineStr"/>
      <c r="V43" s="2" t="inlineStr"/>
      <c r="W43" s="2" t="inlineStr"/>
      <c r="X43" s="2" t="inlineStr">
        <is>
          <t>好评</t>
        </is>
      </c>
    </row>
    <row r="44">
      <c r="A44" s="2" t="inlineStr">
        <is>
          <t>43</t>
        </is>
      </c>
      <c r="B44" s="2" t="inlineStr">
        <is>
          <t>SAMPLE-RV-0048</t>
        </is>
      </c>
      <c r="C44" s="2" t="inlineStr">
        <is>
          <t>5</t>
        </is>
      </c>
      <c r="D44" s="2" t="inlineStr">
        <is>
          <t>US</t>
        </is>
      </c>
      <c r="E44" s="2" t="inlineStr">
        <is>
          <t>智能眼镜 硅胶防滑鼻托 背胶款 2对装</t>
        </is>
      </c>
      <c r="F44" s="2" t="inlineStr">
        <is>
          <t>A款-防滑鼻托套装(2对装)</t>
        </is>
      </c>
      <c r="G44" s="2" t="inlineStr">
        <is>
          <t>大号款-1.8mm</t>
        </is>
      </c>
      <c r="H44" s="2" t="inlineStr">
        <is>
          <t>大号款</t>
        </is>
      </c>
      <c r="I44" s="2" t="inlineStr">
        <is>
          <t>1.8mm</t>
        </is>
      </c>
      <c r="J44" s="2" t="inlineStr">
        <is>
          <t>2026-03-29</t>
        </is>
      </c>
      <c r="K44" s="2" t="inlineStr">
        <is>
          <t>2026-03</t>
        </is>
      </c>
      <c r="L44" s="2" t="inlineStr">
        <is>
          <t>否</t>
        </is>
      </c>
      <c r="M44" s="2" t="inlineStr"/>
      <c r="N44" s="2" t="inlineStr">
        <is>
          <t>Glasses no longer slip when I sweat. Still going strong after six weeks.</t>
        </is>
      </c>
      <c r="O44" s="2" t="inlineStr"/>
      <c r="P44" s="2" t="inlineStr">
        <is>
          <t>运动出汗</t>
        </is>
      </c>
      <c r="Q44" s="2" t="inlineStr">
        <is>
          <t>出汗时防滑; 背胶牢固度</t>
        </is>
      </c>
      <c r="R44" s="2" t="inlineStr"/>
      <c r="S44" s="2" t="inlineStr"/>
      <c r="T44" s="2" t="inlineStr"/>
      <c r="U44" s="2" t="inlineStr"/>
      <c r="V44" s="2" t="inlineStr"/>
      <c r="W44" s="2" t="inlineStr"/>
      <c r="X44" s="2" t="inlineStr">
        <is>
          <t>好评</t>
        </is>
      </c>
    </row>
    <row r="45">
      <c r="A45" s="2" t="inlineStr">
        <is>
          <t>44</t>
        </is>
      </c>
      <c r="B45" s="2" t="inlineStr">
        <is>
          <t>SAMPLE-RV-0049</t>
        </is>
      </c>
      <c r="C45" s="2" t="inlineStr">
        <is>
          <t>5</t>
        </is>
      </c>
      <c r="D45" s="2" t="inlineStr">
        <is>
          <t>US</t>
        </is>
      </c>
      <c r="E45" s="2" t="inlineStr">
        <is>
          <t>智能眼镜 硅胶防滑鼻托 背胶款 2对装</t>
        </is>
      </c>
      <c r="F45" s="2" t="inlineStr">
        <is>
          <t>A款-防滑鼻托套装(2对装)</t>
        </is>
      </c>
      <c r="G45" s="2" t="inlineStr">
        <is>
          <t>标准款-1.8mm</t>
        </is>
      </c>
      <c r="H45" s="2" t="inlineStr">
        <is>
          <t>标准款</t>
        </is>
      </c>
      <c r="I45" s="2" t="inlineStr">
        <is>
          <t>1.8mm</t>
        </is>
      </c>
      <c r="J45" s="2" t="inlineStr">
        <is>
          <t>2026-04-02</t>
        </is>
      </c>
      <c r="K45" s="2" t="inlineStr">
        <is>
          <t>2026-04</t>
        </is>
      </c>
      <c r="L45" s="2" t="inlineStr">
        <is>
          <t>否</t>
        </is>
      </c>
      <c r="M45" s="2" t="inlineStr"/>
      <c r="N45" s="2" t="inlineStr">
        <is>
          <t>Exactly what I needed. Comfortable and the glasses stay in place.</t>
        </is>
      </c>
      <c r="O45" s="2" t="inlineStr"/>
      <c r="P45" s="2" t="inlineStr"/>
      <c r="Q45" s="2" t="inlineStr">
        <is>
          <t>佩戴舒适; 防滑效果(泛指)</t>
        </is>
      </c>
      <c r="R45" s="2" t="inlineStr"/>
      <c r="S45" s="2" t="inlineStr"/>
      <c r="T45" s="2" t="inlineStr"/>
      <c r="U45" s="2" t="inlineStr"/>
      <c r="V45" s="2" t="inlineStr"/>
      <c r="W45" s="2" t="inlineStr"/>
      <c r="X45" s="2" t="inlineStr">
        <is>
          <t>好评</t>
        </is>
      </c>
    </row>
    <row r="46">
      <c r="A46" s="2" t="inlineStr">
        <is>
          <t>45</t>
        </is>
      </c>
      <c r="B46" s="2" t="inlineStr">
        <is>
          <t>SAMPLE-RV-0050</t>
        </is>
      </c>
      <c r="C46" s="2" t="inlineStr">
        <is>
          <t>3</t>
        </is>
      </c>
      <c r="D46" s="2" t="inlineStr">
        <is>
          <t>US</t>
        </is>
      </c>
      <c r="E46" s="2" t="inlineStr">
        <is>
          <t>智能眼镜 硅胶防滑鼻托 背胶款 2对装</t>
        </is>
      </c>
      <c r="F46" s="2" t="inlineStr">
        <is>
          <t>A款-防滑鼻托套装(2对装)</t>
        </is>
      </c>
      <c r="G46" s="2" t="inlineStr">
        <is>
          <t>标准款-2.5mm</t>
        </is>
      </c>
      <c r="H46" s="2" t="inlineStr">
        <is>
          <t>标准款</t>
        </is>
      </c>
      <c r="I46" s="2" t="inlineStr">
        <is>
          <t>2.5mm</t>
        </is>
      </c>
      <c r="J46" s="2" t="inlineStr">
        <is>
          <t>2026-04-04</t>
        </is>
      </c>
      <c r="K46" s="2" t="inlineStr">
        <is>
          <t>2026-04</t>
        </is>
      </c>
      <c r="L46" s="2" t="inlineStr">
        <is>
          <t>否</t>
        </is>
      </c>
      <c r="M46" s="2" t="inlineStr"/>
      <c r="N46" s="2" t="inlineStr">
        <is>
          <t>They work for slipping. Too tall for me though, and they change the camera angle. Going to try the 1.8.</t>
        </is>
      </c>
      <c r="O46" s="2" t="inlineStr">
        <is>
          <t>计划换档</t>
        </is>
      </c>
      <c r="P46" s="2" t="inlineStr"/>
      <c r="Q46" s="2" t="inlineStr">
        <is>
          <t>防滑效果(泛指)</t>
        </is>
      </c>
      <c r="R46" s="2" t="inlineStr">
        <is>
          <t>整体高度:偏高; 摄像头视角</t>
        </is>
      </c>
      <c r="S46" s="2" t="inlineStr"/>
      <c r="T46" s="2" t="inlineStr"/>
      <c r="U46" s="2" t="inlineStr"/>
      <c r="V46" s="2" t="inlineStr">
        <is>
          <t>说不清</t>
        </is>
      </c>
      <c r="W46" s="2" t="inlineStr">
        <is>
          <t>中度</t>
        </is>
      </c>
      <c r="X46" s="2" t="inlineStr">
        <is>
          <t>中性</t>
        </is>
      </c>
    </row>
    <row r="47">
      <c r="A47" s="2" t="inlineStr">
        <is>
          <t>46</t>
        </is>
      </c>
      <c r="B47" s="2" t="inlineStr">
        <is>
          <t>SAMPLE-RV-0051</t>
        </is>
      </c>
      <c r="C47" s="2" t="inlineStr">
        <is>
          <t>5</t>
        </is>
      </c>
      <c r="D47" s="2" t="inlineStr">
        <is>
          <t>US</t>
        </is>
      </c>
      <c r="E47" s="2" t="inlineStr">
        <is>
          <t>智能眼镜 硅胶防滑鼻托 背胶款 2对装</t>
        </is>
      </c>
      <c r="F47" s="2" t="inlineStr">
        <is>
          <t>A款-防滑鼻托套装(2对装)</t>
        </is>
      </c>
      <c r="G47" s="2" t="inlineStr">
        <is>
          <t>标准款-2.5mm</t>
        </is>
      </c>
      <c r="H47" s="2" t="inlineStr">
        <is>
          <t>标准款</t>
        </is>
      </c>
      <c r="I47" s="2" t="inlineStr">
        <is>
          <t>2.5mm</t>
        </is>
      </c>
      <c r="J47" s="2" t="inlineStr">
        <is>
          <t>2026-04-07</t>
        </is>
      </c>
      <c r="K47" s="2" t="inlineStr">
        <is>
          <t>2026-04</t>
        </is>
      </c>
      <c r="L47" s="2" t="inlineStr">
        <is>
          <t>否</t>
        </is>
      </c>
      <c r="M47" s="2" t="inlineStr"/>
      <c r="N47" s="2" t="inlineStr">
        <is>
          <t>Flat nose problem solved. Worth every penny.</t>
        </is>
      </c>
      <c r="O47" s="2" t="inlineStr"/>
      <c r="P47" s="2" t="inlineStr"/>
      <c r="Q47" s="2" t="inlineStr">
        <is>
          <t>整体高度; 值不值</t>
        </is>
      </c>
      <c r="R47" s="2" t="inlineStr"/>
      <c r="S47" s="2" t="inlineStr"/>
      <c r="T47" s="2" t="inlineStr"/>
      <c r="U47" s="2" t="inlineStr"/>
      <c r="V47" s="2" t="inlineStr"/>
      <c r="W47" s="2" t="inlineStr"/>
      <c r="X47" s="2" t="inlineStr">
        <is>
          <t>好评</t>
        </is>
      </c>
    </row>
    <row r="48">
      <c r="A48" s="2" t="inlineStr">
        <is>
          <t>47</t>
        </is>
      </c>
      <c r="B48" s="2" t="inlineStr">
        <is>
          <t>SAMPLE-RV-0052</t>
        </is>
      </c>
      <c r="C48" s="2" t="inlineStr">
        <is>
          <t>4</t>
        </is>
      </c>
      <c r="D48" s="2" t="inlineStr">
        <is>
          <t>US</t>
        </is>
      </c>
      <c r="E48" s="2" t="inlineStr">
        <is>
          <t>智能眼镜 硅胶防滑鼻托 背胶款 2对装</t>
        </is>
      </c>
      <c r="F48" s="2" t="inlineStr">
        <is>
          <t>A款-防滑鼻托套装(2对装)</t>
        </is>
      </c>
      <c r="G48" s="2" t="inlineStr">
        <is>
          <t>标准款-1.8mm</t>
        </is>
      </c>
      <c r="H48" s="2" t="inlineStr">
        <is>
          <t>标准款</t>
        </is>
      </c>
      <c r="I48" s="2" t="inlineStr">
        <is>
          <t>1.8mm</t>
        </is>
      </c>
      <c r="J48" s="2" t="inlineStr">
        <is>
          <t>2026-04-09</t>
        </is>
      </c>
      <c r="K48" s="2" t="inlineStr">
        <is>
          <t>2026-04</t>
        </is>
      </c>
      <c r="L48" s="2" t="inlineStr">
        <is>
          <t>否</t>
        </is>
      </c>
      <c r="M48" s="2" t="inlineStr"/>
      <c r="N48" s="2" t="inlineStr">
        <is>
          <t>Comfy and secure. Slight yellow tint after a couple of months but still fine.</t>
        </is>
      </c>
      <c r="O48" s="2" t="inlineStr"/>
      <c r="P48" s="2" t="inlineStr"/>
      <c r="Q48" s="2" t="inlineStr">
        <is>
          <t>佩戴舒适; 防滑效果(泛指)</t>
        </is>
      </c>
      <c r="R48" s="2" t="inlineStr">
        <is>
          <t>耐黄变</t>
        </is>
      </c>
      <c r="S48" s="2" t="inlineStr"/>
      <c r="T48" s="2" t="inlineStr"/>
      <c r="U48" s="2" t="inlineStr"/>
      <c r="V48" s="2" t="inlineStr">
        <is>
          <t>产品的事</t>
        </is>
      </c>
      <c r="W48" s="2" t="inlineStr">
        <is>
          <t>轻度</t>
        </is>
      </c>
      <c r="X48" s="2" t="inlineStr">
        <is>
          <t>好评</t>
        </is>
      </c>
    </row>
    <row r="49">
      <c r="A49" s="2" t="inlineStr">
        <is>
          <t>48</t>
        </is>
      </c>
      <c r="B49" s="2" t="inlineStr">
        <is>
          <t>SAMPLE-RV-0053</t>
        </is>
      </c>
      <c r="C49" s="2" t="inlineStr">
        <is>
          <t>2</t>
        </is>
      </c>
      <c r="D49" s="2" t="inlineStr">
        <is>
          <t>US</t>
        </is>
      </c>
      <c r="E49" s="2" t="inlineStr">
        <is>
          <t>智能眼镜 硅胶防滑鼻托 背胶款 2对装</t>
        </is>
      </c>
      <c r="F49" s="2" t="inlineStr">
        <is>
          <t>A款-防滑鼻托套装(2对装)</t>
        </is>
      </c>
      <c r="G49" s="2" t="inlineStr">
        <is>
          <t>大号款-2.5mm</t>
        </is>
      </c>
      <c r="H49" s="2" t="inlineStr">
        <is>
          <t>大号款</t>
        </is>
      </c>
      <c r="I49" s="2" t="inlineStr">
        <is>
          <t>2.5mm</t>
        </is>
      </c>
      <c r="J49" s="2" t="inlineStr">
        <is>
          <t>2026-04-12</t>
        </is>
      </c>
      <c r="K49" s="2" t="inlineStr">
        <is>
          <t>2026-04</t>
        </is>
      </c>
      <c r="L49" s="2" t="inlineStr">
        <is>
          <t>否</t>
        </is>
      </c>
      <c r="M49" s="2" t="inlineStr"/>
      <c r="N49" s="2" t="inlineStr">
        <is>
          <t>Glasses won't fit the case with the 2.5 pads. The photos show them in the case so I assumed it would work.</t>
        </is>
      </c>
      <c r="O49" s="2" t="inlineStr"/>
      <c r="P49" s="2" t="inlineStr">
        <is>
          <t>放回充电盒时</t>
        </is>
      </c>
      <c r="Q49" s="2" t="inlineStr"/>
      <c r="R49" s="2" t="inlineStr">
        <is>
          <t>充电盒收纳</t>
        </is>
      </c>
      <c r="S49" s="2" t="inlineStr">
        <is>
          <t>充电盒收纳</t>
        </is>
      </c>
      <c r="T49" s="2" t="inlineStr"/>
      <c r="U49" s="2" t="inlineStr">
        <is>
          <t>充电盒收纳&gt;怎么个不行=放不进去或合不上盖</t>
        </is>
      </c>
      <c r="V49" s="2" t="inlineStr">
        <is>
          <t>页面的事</t>
        </is>
      </c>
      <c r="W49" s="2" t="inlineStr">
        <is>
          <t>中度</t>
        </is>
      </c>
      <c r="X49" s="2" t="inlineStr">
        <is>
          <t>差评</t>
        </is>
      </c>
    </row>
    <row r="50">
      <c r="A50" s="2" t="inlineStr">
        <is>
          <t>49</t>
        </is>
      </c>
      <c r="B50" s="2" t="inlineStr">
        <is>
          <t>SAMPLE-RV-0054</t>
        </is>
      </c>
      <c r="C50" s="2" t="inlineStr">
        <is>
          <t>5</t>
        </is>
      </c>
      <c r="D50" s="2" t="inlineStr">
        <is>
          <t>US</t>
        </is>
      </c>
      <c r="E50" s="2" t="inlineStr">
        <is>
          <t>智能眼镜 硅胶防滑鼻托 背胶款 2对装</t>
        </is>
      </c>
      <c r="F50" s="2" t="inlineStr">
        <is>
          <t>A款-防滑鼻托套装(2对装)</t>
        </is>
      </c>
      <c r="G50" s="2" t="inlineStr">
        <is>
          <t>标准款-1.8mm</t>
        </is>
      </c>
      <c r="H50" s="2" t="inlineStr">
        <is>
          <t>标准款</t>
        </is>
      </c>
      <c r="I50" s="2" t="inlineStr">
        <is>
          <t>1.8mm</t>
        </is>
      </c>
      <c r="J50" s="2" t="inlineStr">
        <is>
          <t>2026-04-15</t>
        </is>
      </c>
      <c r="K50" s="2" t="inlineStr">
        <is>
          <t>2026-04</t>
        </is>
      </c>
      <c r="L50" s="2" t="inlineStr">
        <is>
          <t>否</t>
        </is>
      </c>
      <c r="M50" s="2" t="inlineStr"/>
      <c r="N50" s="2" t="inlineStr">
        <is>
          <t>My wife bought these for me. I did not think I needed them. I was wrong, big difference in comfort.</t>
        </is>
      </c>
      <c r="O50" s="2" t="inlineStr">
        <is>
          <t>送礼</t>
        </is>
      </c>
      <c r="P50" s="2" t="inlineStr"/>
      <c r="Q50" s="2" t="inlineStr">
        <is>
          <t>佩戴舒适</t>
        </is>
      </c>
      <c r="R50" s="2" t="inlineStr"/>
      <c r="S50" s="2" t="inlineStr"/>
      <c r="T50" s="2" t="inlineStr"/>
      <c r="U50" s="2" t="inlineStr"/>
      <c r="V50" s="2" t="inlineStr"/>
      <c r="W50" s="2" t="inlineStr"/>
      <c r="X50" s="2" t="inlineStr">
        <is>
          <t>好评</t>
        </is>
      </c>
    </row>
    <row r="51">
      <c r="A51" s="2" t="inlineStr">
        <is>
          <t>50</t>
        </is>
      </c>
      <c r="B51" s="2" t="inlineStr">
        <is>
          <t>SAMPLE-RV-0055</t>
        </is>
      </c>
      <c r="C51" s="2" t="inlineStr">
        <is>
          <t>5</t>
        </is>
      </c>
      <c r="D51" s="2" t="inlineStr">
        <is>
          <t>US</t>
        </is>
      </c>
      <c r="E51" s="2" t="inlineStr">
        <is>
          <t>智能眼镜 硅胶防滑鼻托 背胶款 2对装</t>
        </is>
      </c>
      <c r="F51" s="2" t="inlineStr">
        <is>
          <t>A款-防滑鼻托套装(2对装)</t>
        </is>
      </c>
      <c r="G51" s="2" t="inlineStr">
        <is>
          <t>大号款-1.8mm</t>
        </is>
      </c>
      <c r="H51" s="2" t="inlineStr">
        <is>
          <t>大号款</t>
        </is>
      </c>
      <c r="I51" s="2" t="inlineStr">
        <is>
          <t>1.8mm</t>
        </is>
      </c>
      <c r="J51" s="2" t="inlineStr">
        <is>
          <t>2026-04-18</t>
        </is>
      </c>
      <c r="K51" s="2" t="inlineStr">
        <is>
          <t>2026-04</t>
        </is>
      </c>
      <c r="L51" s="2" t="inlineStr">
        <is>
          <t>否</t>
        </is>
      </c>
      <c r="M51" s="2" t="inlineStr"/>
      <c r="N51" s="2" t="inlineStr">
        <is>
          <t>Works with the large frame and case. No issues.</t>
        </is>
      </c>
      <c r="O51" s="2" t="inlineStr"/>
      <c r="P51" s="2" t="inlineStr">
        <is>
          <t>放回充电盒时</t>
        </is>
      </c>
      <c r="Q51" s="2" t="inlineStr">
        <is>
          <t>机型适配; 充电盒收纳</t>
        </is>
      </c>
      <c r="R51" s="2" t="inlineStr"/>
      <c r="S51" s="2" t="inlineStr"/>
      <c r="T51" s="2" t="inlineStr"/>
      <c r="U51" s="2" t="inlineStr"/>
      <c r="V51" s="2" t="inlineStr"/>
      <c r="W51" s="2" t="inlineStr"/>
      <c r="X51" s="2" t="inlineStr">
        <is>
          <t>好评</t>
        </is>
      </c>
    </row>
    <row r="52">
      <c r="A52" s="2" t="inlineStr">
        <is>
          <t>51</t>
        </is>
      </c>
      <c r="B52" s="2" t="inlineStr">
        <is>
          <t>SAMPLE-RV-0056</t>
        </is>
      </c>
      <c r="C52" s="2" t="inlineStr">
        <is>
          <t>4</t>
        </is>
      </c>
      <c r="D52" s="2" t="inlineStr">
        <is>
          <t>US</t>
        </is>
      </c>
      <c r="E52" s="2" t="inlineStr">
        <is>
          <t>智能眼镜 硅胶防滑鼻托 背胶款 2对装</t>
        </is>
      </c>
      <c r="F52" s="2" t="inlineStr">
        <is>
          <t>A款-防滑鼻托套装(2对装)</t>
        </is>
      </c>
      <c r="G52" s="2" t="inlineStr">
        <is>
          <t>标准款-1.8mm</t>
        </is>
      </c>
      <c r="H52" s="2" t="inlineStr">
        <is>
          <t>标准款</t>
        </is>
      </c>
      <c r="I52" s="2" t="inlineStr">
        <is>
          <t>1.8mm</t>
        </is>
      </c>
      <c r="J52" s="2" t="inlineStr">
        <is>
          <t>2026-04-20</t>
        </is>
      </c>
      <c r="K52" s="2" t="inlineStr">
        <is>
          <t>2026-04</t>
        </is>
      </c>
      <c r="L52" s="2" t="inlineStr">
        <is>
          <t>否</t>
        </is>
      </c>
      <c r="M52" s="2" t="inlineStr"/>
      <c r="N52" s="2" t="inlineStr">
        <is>
          <t>Stops slipping. Can see the edges of the pad from the side, they are wider than they need to be.</t>
        </is>
      </c>
      <c r="O52" s="2" t="inlineStr"/>
      <c r="P52" s="2" t="inlineStr"/>
      <c r="Q52" s="2" t="inlineStr">
        <is>
          <t>防滑效果(泛指)</t>
        </is>
      </c>
      <c r="R52" s="2" t="inlineStr">
        <is>
          <t>宽度与覆盖:偏宽; 外观隐形</t>
        </is>
      </c>
      <c r="S52" s="2" t="inlineStr"/>
      <c r="T52" s="2" t="inlineStr"/>
      <c r="U52" s="2" t="inlineStr"/>
      <c r="V52" s="2" t="inlineStr">
        <is>
          <t>产品的事</t>
        </is>
      </c>
      <c r="W52" s="2" t="inlineStr">
        <is>
          <t>轻度</t>
        </is>
      </c>
      <c r="X52" s="2" t="inlineStr">
        <is>
          <t>好评</t>
        </is>
      </c>
    </row>
    <row r="53">
      <c r="A53" s="2" t="inlineStr">
        <is>
          <t>52</t>
        </is>
      </c>
      <c r="B53" s="2" t="inlineStr">
        <is>
          <t>SAMPLE-RV-0057</t>
        </is>
      </c>
      <c r="C53" s="2" t="inlineStr">
        <is>
          <t>1</t>
        </is>
      </c>
      <c r="D53" s="2" t="inlineStr">
        <is>
          <t>US</t>
        </is>
      </c>
      <c r="E53" s="2" t="inlineStr">
        <is>
          <t>智能眼镜 硅胶防滑鼻托 背胶款 2对装</t>
        </is>
      </c>
      <c r="F53" s="2" t="inlineStr">
        <is>
          <t>A款-防滑鼻托套装(2对装)</t>
        </is>
      </c>
      <c r="G53" s="2" t="inlineStr">
        <is>
          <t>标准款-1.8mm</t>
        </is>
      </c>
      <c r="H53" s="2" t="inlineStr">
        <is>
          <t>标准款</t>
        </is>
      </c>
      <c r="I53" s="2" t="inlineStr">
        <is>
          <t>1.8mm</t>
        </is>
      </c>
      <c r="J53" s="2" t="inlineStr">
        <is>
          <t>2026-04-23</t>
        </is>
      </c>
      <c r="K53" s="2" t="inlineStr">
        <is>
          <t>2026-04</t>
        </is>
      </c>
      <c r="L53" s="2" t="inlineStr">
        <is>
          <t>否</t>
        </is>
      </c>
      <c r="M53" s="2" t="inlineStr"/>
      <c r="N53" s="2" t="inlineStr">
        <is>
          <t>One pad fell off after three days and I lost it. Not what I expected for the price.</t>
        </is>
      </c>
      <c r="O53" s="2" t="inlineStr"/>
      <c r="P53" s="2" t="inlineStr"/>
      <c r="Q53" s="2" t="inlineStr"/>
      <c r="R53" s="2" t="inlineStr">
        <is>
          <t>背胶牢固度; 值不值</t>
        </is>
      </c>
      <c r="S53" s="2" t="inlineStr"/>
      <c r="T53" s="2" t="inlineStr"/>
      <c r="U53" s="2" t="inlineStr">
        <is>
          <t>背胶牢固度&gt;多久出的问题=一周内; 背胶牢固度&gt;什么场合=没说</t>
        </is>
      </c>
      <c r="V53" s="2" t="inlineStr">
        <is>
          <t>产品的事</t>
        </is>
      </c>
      <c r="W53" s="2" t="inlineStr">
        <is>
          <t>严重</t>
        </is>
      </c>
      <c r="X53" s="2" t="inlineStr">
        <is>
          <t>差评</t>
        </is>
      </c>
    </row>
    <row r="54">
      <c r="A54" s="2" t="inlineStr">
        <is>
          <t>53</t>
        </is>
      </c>
      <c r="B54" s="2" t="inlineStr">
        <is>
          <t>SAMPLE-RV-0058</t>
        </is>
      </c>
      <c r="C54" s="2" t="inlineStr">
        <is>
          <t>5</t>
        </is>
      </c>
      <c r="D54" s="2" t="inlineStr">
        <is>
          <t>US</t>
        </is>
      </c>
      <c r="E54" s="2" t="inlineStr">
        <is>
          <t>智能眼镜 硅胶防滑鼻托 背胶款 2对装</t>
        </is>
      </c>
      <c r="F54" s="2" t="inlineStr">
        <is>
          <t>A款-防滑鼻托套装(2对装)</t>
        </is>
      </c>
      <c r="G54" s="2" t="inlineStr">
        <is>
          <t>标准款-1.8mm</t>
        </is>
      </c>
      <c r="H54" s="2" t="inlineStr">
        <is>
          <t>标准款</t>
        </is>
      </c>
      <c r="I54" s="2" t="inlineStr">
        <is>
          <t>1.8mm</t>
        </is>
      </c>
      <c r="J54" s="2" t="inlineStr">
        <is>
          <t>2026-04-26</t>
        </is>
      </c>
      <c r="K54" s="2" t="inlineStr">
        <is>
          <t>2026-04</t>
        </is>
      </c>
      <c r="L54" s="2" t="inlineStr">
        <is>
          <t>否</t>
        </is>
      </c>
      <c r="M54" s="2" t="inlineStr"/>
      <c r="N54" s="2" t="inlineStr">
        <is>
          <t>Great little upgrade. Easy to apply and totally comfortable.</t>
        </is>
      </c>
      <c r="O54" s="2" t="inlineStr"/>
      <c r="P54" s="2" t="inlineStr"/>
      <c r="Q54" s="2" t="inlineStr">
        <is>
          <t>安装难易; 佩戴舒适</t>
        </is>
      </c>
      <c r="R54" s="2" t="inlineStr"/>
      <c r="S54" s="2" t="inlineStr"/>
      <c r="T54" s="2" t="inlineStr"/>
      <c r="U54" s="2" t="inlineStr"/>
      <c r="V54" s="2" t="inlineStr"/>
      <c r="W54" s="2" t="inlineStr"/>
      <c r="X54" s="2" t="inlineStr">
        <is>
          <t>好评</t>
        </is>
      </c>
    </row>
    <row r="55">
      <c r="A55" s="2" t="inlineStr">
        <is>
          <t>54</t>
        </is>
      </c>
      <c r="B55" s="2" t="inlineStr">
        <is>
          <t>SAMPLE-RV-0059</t>
        </is>
      </c>
      <c r="C55" s="2" t="inlineStr">
        <is>
          <t>5</t>
        </is>
      </c>
      <c r="D55" s="2" t="inlineStr">
        <is>
          <t>US</t>
        </is>
      </c>
      <c r="E55" s="2" t="inlineStr">
        <is>
          <t>智能眼镜 硅胶防滑鼻托 背胶款 2对装</t>
        </is>
      </c>
      <c r="F55" s="2" t="inlineStr">
        <is>
          <t>A款-防滑鼻托套装(2对装)</t>
        </is>
      </c>
      <c r="G55" s="2" t="inlineStr">
        <is>
          <t>标准款-2.5mm</t>
        </is>
      </c>
      <c r="H55" s="2" t="inlineStr">
        <is>
          <t>标准款</t>
        </is>
      </c>
      <c r="I55" s="2" t="inlineStr">
        <is>
          <t>2.5mm</t>
        </is>
      </c>
      <c r="J55" s="2" t="inlineStr">
        <is>
          <t>2026-04-29</t>
        </is>
      </c>
      <c r="K55" s="2" t="inlineStr">
        <is>
          <t>2026-04</t>
        </is>
      </c>
      <c r="L55" s="2" t="inlineStr">
        <is>
          <t>否</t>
        </is>
      </c>
      <c r="M55" s="2" t="inlineStr"/>
      <c r="N55" s="2" t="inlineStr">
        <is>
          <t>Perfect height for me and they have stayed on through daily wear for two months.</t>
        </is>
      </c>
      <c r="O55" s="2" t="inlineStr"/>
      <c r="P55" s="2" t="inlineStr">
        <is>
          <t>全天佩戴</t>
        </is>
      </c>
      <c r="Q55" s="2" t="inlineStr">
        <is>
          <t>整体高度; 背胶牢固度</t>
        </is>
      </c>
      <c r="R55" s="2" t="inlineStr"/>
      <c r="S55" s="2" t="inlineStr"/>
      <c r="T55" s="2" t="inlineStr"/>
      <c r="U55" s="2" t="inlineStr"/>
      <c r="V55" s="2" t="inlineStr"/>
      <c r="W55" s="2" t="inlineStr"/>
      <c r="X55" s="2" t="inlineStr">
        <is>
          <t>好评</t>
        </is>
      </c>
    </row>
    <row r="56">
      <c r="A56" s="2" t="inlineStr">
        <is>
          <t>55</t>
        </is>
      </c>
      <c r="B56" s="2" t="inlineStr">
        <is>
          <t>SAMPLE-RV-0060</t>
        </is>
      </c>
      <c r="C56" s="2" t="inlineStr">
        <is>
          <t>5</t>
        </is>
      </c>
      <c r="D56" s="2" t="inlineStr">
        <is>
          <t>US</t>
        </is>
      </c>
      <c r="E56" s="2" t="inlineStr">
        <is>
          <t>智能眼镜 硅胶防滑鼻托 背胶款 2对装</t>
        </is>
      </c>
      <c r="F56" s="2" t="inlineStr">
        <is>
          <t>A款-防滑鼻托套装(2对装)</t>
        </is>
      </c>
      <c r="G56" s="2" t="inlineStr">
        <is>
          <t>标准款-1.8mm</t>
        </is>
      </c>
      <c r="H56" s="2" t="inlineStr">
        <is>
          <t>标准款</t>
        </is>
      </c>
      <c r="I56" s="2" t="inlineStr">
        <is>
          <t>1.8mm</t>
        </is>
      </c>
      <c r="J56" s="2" t="inlineStr">
        <is>
          <t>2026-05-02</t>
        </is>
      </c>
      <c r="K56" s="2" t="inlineStr">
        <is>
          <t>2026-05</t>
        </is>
      </c>
      <c r="L56" s="2" t="inlineStr">
        <is>
          <t>否</t>
        </is>
      </c>
      <c r="M56" s="2" t="inlineStr"/>
      <c r="N56" s="2" t="inlineStr">
        <is>
          <t>No more sliding. Comfortable all day.</t>
        </is>
      </c>
      <c r="O56" s="2" t="inlineStr"/>
      <c r="P56" s="2" t="inlineStr">
        <is>
          <t>全天佩戴</t>
        </is>
      </c>
      <c r="Q56" s="2" t="inlineStr">
        <is>
          <t>防滑效果(泛指); 佩戴舒适</t>
        </is>
      </c>
      <c r="R56" s="2" t="inlineStr"/>
      <c r="S56" s="2" t="inlineStr"/>
      <c r="T56" s="2" t="inlineStr"/>
      <c r="U56" s="2" t="inlineStr"/>
      <c r="V56" s="2" t="inlineStr"/>
      <c r="W56" s="2" t="inlineStr"/>
      <c r="X56" s="2" t="inlineStr">
        <is>
          <t>好评</t>
        </is>
      </c>
    </row>
    <row r="57">
      <c r="A57" s="2" t="inlineStr">
        <is>
          <t>56</t>
        </is>
      </c>
      <c r="B57" s="2" t="inlineStr">
        <is>
          <t>SAMPLE-RV-0061</t>
        </is>
      </c>
      <c r="C57" s="2" t="inlineStr">
        <is>
          <t>2</t>
        </is>
      </c>
      <c r="D57" s="2" t="inlineStr">
        <is>
          <t>US</t>
        </is>
      </c>
      <c r="E57" s="2" t="inlineStr">
        <is>
          <t>智能眼镜 硅胶防滑鼻托 背胶款 2对装</t>
        </is>
      </c>
      <c r="F57" s="2" t="inlineStr">
        <is>
          <t>A款-防滑鼻托套装(2对装)</t>
        </is>
      </c>
      <c r="G57" s="2" t="inlineStr">
        <is>
          <t>标准款-1.8mm</t>
        </is>
      </c>
      <c r="H57" s="2" t="inlineStr">
        <is>
          <t>标准款</t>
        </is>
      </c>
      <c r="I57" s="2" t="inlineStr">
        <is>
          <t>1.8mm</t>
        </is>
      </c>
      <c r="J57" s="2" t="inlineStr">
        <is>
          <t>2026-05-05</t>
        </is>
      </c>
      <c r="K57" s="2" t="inlineStr">
        <is>
          <t>2026-05</t>
        </is>
      </c>
      <c r="L57" s="2" t="inlineStr">
        <is>
          <t>否</t>
        </is>
      </c>
      <c r="M57" s="2" t="inlineStr"/>
      <c r="N57" s="2" t="inlineStr">
        <is>
          <t>First set I bought in February was great. This new set feels harder and the glue gave up in a week.</t>
        </is>
      </c>
      <c r="O57" s="2" t="inlineStr">
        <is>
          <t>复购</t>
        </is>
      </c>
      <c r="P57" s="2" t="inlineStr"/>
      <c r="Q57" s="2" t="inlineStr"/>
      <c r="R57" s="2" t="inlineStr">
        <is>
          <t>同款批次一致性; 硅胶软硬:偏硬; 背胶牢固度</t>
        </is>
      </c>
      <c r="S57" s="2" t="inlineStr"/>
      <c r="T57" s="2" t="inlineStr"/>
      <c r="U57" s="2" t="inlineStr">
        <is>
          <t>背胶牢固度&gt;多久出的问题=一周内; 背胶牢固度&gt;什么场合=没说</t>
        </is>
      </c>
      <c r="V57" s="2" t="inlineStr">
        <is>
          <t>产品的事</t>
        </is>
      </c>
      <c r="W57" s="2" t="inlineStr">
        <is>
          <t>严重</t>
        </is>
      </c>
      <c r="X57" s="2" t="inlineStr">
        <is>
          <t>差评</t>
        </is>
      </c>
    </row>
    <row r="58">
      <c r="A58" s="2" t="inlineStr">
        <is>
          <t>57</t>
        </is>
      </c>
      <c r="B58" s="2" t="inlineStr">
        <is>
          <t>SAMPLE-RV-0062</t>
        </is>
      </c>
      <c r="C58" s="2" t="inlineStr">
        <is>
          <t>3</t>
        </is>
      </c>
      <c r="D58" s="2" t="inlineStr">
        <is>
          <t>US</t>
        </is>
      </c>
      <c r="E58" s="2" t="inlineStr">
        <is>
          <t>智能眼镜 硅胶防滑鼻托 背胶款 2对装</t>
        </is>
      </c>
      <c r="F58" s="2" t="inlineStr">
        <is>
          <t>A款-防滑鼻托套装(2对装)</t>
        </is>
      </c>
      <c r="G58" s="2" t="inlineStr">
        <is>
          <t>标准款-2.5mm</t>
        </is>
      </c>
      <c r="H58" s="2" t="inlineStr">
        <is>
          <t>标准款</t>
        </is>
      </c>
      <c r="I58" s="2" t="inlineStr">
        <is>
          <t>2.5mm</t>
        </is>
      </c>
      <c r="J58" s="2" t="inlineStr">
        <is>
          <t>2026-05-08</t>
        </is>
      </c>
      <c r="K58" s="2" t="inlineStr">
        <is>
          <t>2026-05</t>
        </is>
      </c>
      <c r="L58" s="2" t="inlineStr">
        <is>
          <t>否</t>
        </is>
      </c>
      <c r="M58" s="2" t="inlineStr"/>
      <c r="N58" s="2" t="inlineStr">
        <is>
          <t>Comfortable, but one pad came loose after a sweaty bike ride. Pressed it back on, we will see.</t>
        </is>
      </c>
      <c r="O58" s="2" t="inlineStr"/>
      <c r="P58" s="2" t="inlineStr">
        <is>
          <t>运动出汗</t>
        </is>
      </c>
      <c r="Q58" s="2" t="inlineStr">
        <is>
          <t>佩戴舒适</t>
        </is>
      </c>
      <c r="R58" s="2" t="inlineStr">
        <is>
          <t>背胶牢固度</t>
        </is>
      </c>
      <c r="S58" s="2" t="inlineStr"/>
      <c r="T58" s="2" t="inlineStr"/>
      <c r="U58" s="2" t="inlineStr">
        <is>
          <t>背胶牢固度&gt;多久出的问题=没说; 背胶牢固度&gt;什么场合=出汗</t>
        </is>
      </c>
      <c r="V58" s="2" t="inlineStr">
        <is>
          <t>产品的事</t>
        </is>
      </c>
      <c r="W58" s="2" t="inlineStr">
        <is>
          <t>中度</t>
        </is>
      </c>
      <c r="X58" s="2" t="inlineStr">
        <is>
          <t>中性</t>
        </is>
      </c>
    </row>
    <row r="59">
      <c r="A59" s="2" t="inlineStr">
        <is>
          <t>58</t>
        </is>
      </c>
      <c r="B59" s="2" t="inlineStr">
        <is>
          <t>SAMPLE-RV-0063</t>
        </is>
      </c>
      <c r="C59" s="2" t="inlineStr">
        <is>
          <t>4</t>
        </is>
      </c>
      <c r="D59" s="2" t="inlineStr">
        <is>
          <t>US</t>
        </is>
      </c>
      <c r="E59" s="2" t="inlineStr">
        <is>
          <t>智能眼镜 硅胶防滑鼻托 背胶款 2对装</t>
        </is>
      </c>
      <c r="F59" s="2" t="inlineStr">
        <is>
          <t>A款-防滑鼻托套装(2对装)</t>
        </is>
      </c>
      <c r="G59" s="2" t="inlineStr">
        <is>
          <t>大号款-1.8mm</t>
        </is>
      </c>
      <c r="H59" s="2" t="inlineStr">
        <is>
          <t>大号款</t>
        </is>
      </c>
      <c r="I59" s="2" t="inlineStr">
        <is>
          <t>1.8mm</t>
        </is>
      </c>
      <c r="J59" s="2" t="inlineStr">
        <is>
          <t>2026-05-10</t>
        </is>
      </c>
      <c r="K59" s="2" t="inlineStr">
        <is>
          <t>2026-05</t>
        </is>
      </c>
      <c r="L59" s="2" t="inlineStr">
        <is>
          <t>否</t>
        </is>
      </c>
      <c r="M59" s="2" t="inlineStr"/>
      <c r="N59" s="2" t="inlineStr">
        <is>
          <t>Good fit and they work with the case. A bit wide.</t>
        </is>
      </c>
      <c r="O59" s="2" t="inlineStr"/>
      <c r="P59" s="2" t="inlineStr">
        <is>
          <t>放回充电盒时</t>
        </is>
      </c>
      <c r="Q59" s="2" t="inlineStr">
        <is>
          <t>充电盒收纳</t>
        </is>
      </c>
      <c r="R59" s="2" t="inlineStr">
        <is>
          <t>宽度与覆盖:偏宽</t>
        </is>
      </c>
      <c r="S59" s="2" t="inlineStr"/>
      <c r="T59" s="2" t="inlineStr"/>
      <c r="U59" s="2" t="inlineStr"/>
      <c r="V59" s="2" t="inlineStr">
        <is>
          <t>产品的事</t>
        </is>
      </c>
      <c r="W59" s="2" t="inlineStr">
        <is>
          <t>轻度</t>
        </is>
      </c>
      <c r="X59" s="2" t="inlineStr">
        <is>
          <t>好评</t>
        </is>
      </c>
    </row>
    <row r="60">
      <c r="A60" s="2" t="inlineStr">
        <is>
          <t>59</t>
        </is>
      </c>
      <c r="B60" s="2" t="inlineStr">
        <is>
          <t>SAMPLE-RV-0064</t>
        </is>
      </c>
      <c r="C60" s="2" t="inlineStr">
        <is>
          <t>1</t>
        </is>
      </c>
      <c r="D60" s="2" t="inlineStr">
        <is>
          <t>US</t>
        </is>
      </c>
      <c r="E60" s="2" t="inlineStr">
        <is>
          <t>智能眼镜 硅胶防滑鼻托 背胶款 2对装</t>
        </is>
      </c>
      <c r="F60" s="2" t="inlineStr">
        <is>
          <t>A款-防滑鼻托套装(2对装)</t>
        </is>
      </c>
      <c r="G60" s="2" t="inlineStr">
        <is>
          <t>标准款-2.5mm</t>
        </is>
      </c>
      <c r="H60" s="2" t="inlineStr">
        <is>
          <t>标准款</t>
        </is>
      </c>
      <c r="I60" s="2" t="inlineStr">
        <is>
          <t>2.5mm</t>
        </is>
      </c>
      <c r="J60" s="2" t="inlineStr">
        <is>
          <t>2026-05-13</t>
        </is>
      </c>
      <c r="K60" s="2" t="inlineStr">
        <is>
          <t>2026-05</t>
        </is>
      </c>
      <c r="L60" s="2" t="inlineStr">
        <is>
          <t>否</t>
        </is>
      </c>
      <c r="M60" s="2" t="inlineStr"/>
      <c r="N60" s="2" t="inlineStr">
        <is>
          <t>Pad fell off on the second day while I was walking, glasses dropped and the lens got scratched. Furious.</t>
        </is>
      </c>
      <c r="O60" s="2" t="inlineStr"/>
      <c r="P60" s="2" t="inlineStr"/>
      <c r="Q60" s="2" t="inlineStr"/>
      <c r="R60" s="2" t="inlineStr">
        <is>
          <t>背胶牢固度</t>
        </is>
      </c>
      <c r="S60" s="2" t="inlineStr"/>
      <c r="T60" s="2" t="inlineStr"/>
      <c r="U60" s="2" t="inlineStr">
        <is>
          <t>背胶牢固度&gt;多久出的问题=一周内; 背胶牢固度&gt;什么场合=日常佩戴</t>
        </is>
      </c>
      <c r="V60" s="2" t="inlineStr">
        <is>
          <t>产品的事</t>
        </is>
      </c>
      <c r="W60" s="2" t="inlineStr">
        <is>
          <t>严重</t>
        </is>
      </c>
      <c r="X60" s="2" t="inlineStr">
        <is>
          <t>差评</t>
        </is>
      </c>
    </row>
    <row r="61">
      <c r="A61" s="2" t="inlineStr">
        <is>
          <t>60</t>
        </is>
      </c>
      <c r="B61" s="2" t="inlineStr">
        <is>
          <t>SAMPLE-RV-0065</t>
        </is>
      </c>
      <c r="C61" s="2" t="inlineStr">
        <is>
          <t>5</t>
        </is>
      </c>
      <c r="D61" s="2" t="inlineStr">
        <is>
          <t>US</t>
        </is>
      </c>
      <c r="E61" s="2" t="inlineStr">
        <is>
          <t>智能眼镜 硅胶防滑鼻托 背胶款 2对装</t>
        </is>
      </c>
      <c r="F61" s="2" t="inlineStr">
        <is>
          <t>A款-防滑鼻托套装(2对装)</t>
        </is>
      </c>
      <c r="G61" s="2" t="inlineStr">
        <is>
          <t>标准款-1.8mm</t>
        </is>
      </c>
      <c r="H61" s="2" t="inlineStr">
        <is>
          <t>标准款</t>
        </is>
      </c>
      <c r="I61" s="2" t="inlineStr">
        <is>
          <t>1.8mm</t>
        </is>
      </c>
      <c r="J61" s="2" t="inlineStr">
        <is>
          <t>2026-05-16</t>
        </is>
      </c>
      <c r="K61" s="2" t="inlineStr">
        <is>
          <t>2026-05</t>
        </is>
      </c>
      <c r="L61" s="2" t="inlineStr">
        <is>
          <t>否</t>
        </is>
      </c>
      <c r="M61" s="2" t="inlineStr"/>
      <c r="N61" s="2" t="inlineStr">
        <is>
          <t>Love these. Look invisible and feel great.</t>
        </is>
      </c>
      <c r="O61" s="2" t="inlineStr"/>
      <c r="P61" s="2" t="inlineStr"/>
      <c r="Q61" s="2" t="inlineStr">
        <is>
          <t>外观隐形; 佩戴舒适</t>
        </is>
      </c>
      <c r="R61" s="2" t="inlineStr"/>
      <c r="S61" s="2" t="inlineStr"/>
      <c r="T61" s="2" t="inlineStr"/>
      <c r="U61" s="2" t="inlineStr"/>
      <c r="V61" s="2" t="inlineStr"/>
      <c r="W61" s="2" t="inlineStr"/>
      <c r="X61" s="2" t="inlineStr">
        <is>
          <t>好评</t>
        </is>
      </c>
    </row>
    <row r="62">
      <c r="A62" s="2" t="inlineStr">
        <is>
          <t>61</t>
        </is>
      </c>
      <c r="B62" s="2" t="inlineStr">
        <is>
          <t>SAMPLE-RV-0066</t>
        </is>
      </c>
      <c r="C62" s="2" t="inlineStr">
        <is>
          <t>2</t>
        </is>
      </c>
      <c r="D62" s="2" t="inlineStr">
        <is>
          <t>US</t>
        </is>
      </c>
      <c r="E62" s="2" t="inlineStr">
        <is>
          <t>智能眼镜 硅胶防滑鼻托 背胶款 2对装</t>
        </is>
      </c>
      <c r="F62" s="2" t="inlineStr">
        <is>
          <t>A款-防滑鼻托套装(2对装)</t>
        </is>
      </c>
      <c r="G62" s="2" t="inlineStr">
        <is>
          <t>标准款-2.5mm</t>
        </is>
      </c>
      <c r="H62" s="2" t="inlineStr">
        <is>
          <t>标准款</t>
        </is>
      </c>
      <c r="I62" s="2" t="inlineStr">
        <is>
          <t>2.5mm</t>
        </is>
      </c>
      <c r="J62" s="2" t="inlineStr">
        <is>
          <t>2026-05-19</t>
        </is>
      </c>
      <c r="K62" s="2" t="inlineStr">
        <is>
          <t>2026-05</t>
        </is>
      </c>
      <c r="L62" s="2" t="inlineStr">
        <is>
          <t>否</t>
        </is>
      </c>
      <c r="M62" s="2" t="inlineStr"/>
      <c r="N62" s="2" t="inlineStr">
        <is>
          <t>Adhesive does not survive sweat. Listing says sweat proof. It is not.</t>
        </is>
      </c>
      <c r="O62" s="2" t="inlineStr"/>
      <c r="P62" s="2" t="inlineStr">
        <is>
          <t>运动出汗</t>
        </is>
      </c>
      <c r="Q62" s="2" t="inlineStr"/>
      <c r="R62" s="2" t="inlineStr">
        <is>
          <t>背胶牢固度; 防滑宣称兑现度</t>
        </is>
      </c>
      <c r="S62" s="2" t="inlineStr">
        <is>
          <t>背胶牢固度</t>
        </is>
      </c>
      <c r="T62" s="2" t="inlineStr"/>
      <c r="U62" s="2" t="inlineStr">
        <is>
          <t>背胶牢固度&gt;多久出的问题=没说; 背胶牢固度&gt;什么场合=出汗</t>
        </is>
      </c>
      <c r="V62" s="2" t="inlineStr">
        <is>
          <t>页面的事</t>
        </is>
      </c>
      <c r="W62" s="2" t="inlineStr">
        <is>
          <t>严重</t>
        </is>
      </c>
      <c r="X62" s="2" t="inlineStr">
        <is>
          <t>差评</t>
        </is>
      </c>
    </row>
    <row r="63">
      <c r="A63" s="2" t="inlineStr">
        <is>
          <t>62</t>
        </is>
      </c>
      <c r="B63" s="2" t="inlineStr">
        <is>
          <t>SAMPLE-RV-0067</t>
        </is>
      </c>
      <c r="C63" s="2" t="inlineStr">
        <is>
          <t>4</t>
        </is>
      </c>
      <c r="D63" s="2" t="inlineStr">
        <is>
          <t>US</t>
        </is>
      </c>
      <c r="E63" s="2" t="inlineStr">
        <is>
          <t>智能眼镜 硅胶防滑鼻托 背胶款 2对装</t>
        </is>
      </c>
      <c r="F63" s="2" t="inlineStr">
        <is>
          <t>A款-防滑鼻托套装(2对装)</t>
        </is>
      </c>
      <c r="G63" s="2" t="inlineStr">
        <is>
          <t>标准款-1.8mm</t>
        </is>
      </c>
      <c r="H63" s="2" t="inlineStr">
        <is>
          <t>标准款</t>
        </is>
      </c>
      <c r="I63" s="2" t="inlineStr">
        <is>
          <t>1.8mm</t>
        </is>
      </c>
      <c r="J63" s="2" t="inlineStr">
        <is>
          <t>2026-05-22</t>
        </is>
      </c>
      <c r="K63" s="2" t="inlineStr">
        <is>
          <t>2026-05</t>
        </is>
      </c>
      <c r="L63" s="2" t="inlineStr">
        <is>
          <t>否</t>
        </is>
      </c>
      <c r="M63" s="2" t="inlineStr"/>
      <c r="N63" s="2" t="inlineStr">
        <is>
          <t>They do help a lot with slipping. Not cheap for what it is.</t>
        </is>
      </c>
      <c r="O63" s="2" t="inlineStr"/>
      <c r="P63" s="2" t="inlineStr"/>
      <c r="Q63" s="2" t="inlineStr">
        <is>
          <t>防滑效果(泛指)</t>
        </is>
      </c>
      <c r="R63" s="2" t="inlineStr">
        <is>
          <t>值不值</t>
        </is>
      </c>
      <c r="S63" s="2" t="inlineStr"/>
      <c r="T63" s="2" t="inlineStr"/>
      <c r="U63" s="2" t="inlineStr"/>
      <c r="V63" s="2" t="inlineStr">
        <is>
          <t>说不清</t>
        </is>
      </c>
      <c r="W63" s="2" t="inlineStr">
        <is>
          <t>轻度</t>
        </is>
      </c>
      <c r="X63" s="2" t="inlineStr">
        <is>
          <t>好评</t>
        </is>
      </c>
    </row>
    <row r="64">
      <c r="A64" s="2" t="inlineStr">
        <is>
          <t>63</t>
        </is>
      </c>
      <c r="B64" s="2" t="inlineStr">
        <is>
          <t>SAMPLE-RV-0068</t>
        </is>
      </c>
      <c r="C64" s="2" t="inlineStr">
        <is>
          <t>3</t>
        </is>
      </c>
      <c r="D64" s="2" t="inlineStr">
        <is>
          <t>US</t>
        </is>
      </c>
      <c r="E64" s="2" t="inlineStr">
        <is>
          <t>智能眼镜 硅胶防滑鼻托 背胶款 2对装</t>
        </is>
      </c>
      <c r="F64" s="2" t="inlineStr">
        <is>
          <t>A款-防滑鼻托套装(2对装)</t>
        </is>
      </c>
      <c r="G64" s="2" t="inlineStr">
        <is>
          <t>标准款-2.5mm</t>
        </is>
      </c>
      <c r="H64" s="2" t="inlineStr">
        <is>
          <t>标准款</t>
        </is>
      </c>
      <c r="I64" s="2" t="inlineStr">
        <is>
          <t>2.5mm</t>
        </is>
      </c>
      <c r="J64" s="2" t="inlineStr">
        <is>
          <t>2026-05-25</t>
        </is>
      </c>
      <c r="K64" s="2" t="inlineStr">
        <is>
          <t>2026-05</t>
        </is>
      </c>
      <c r="L64" s="2" t="inlineStr">
        <is>
          <t>否</t>
        </is>
      </c>
      <c r="M64" s="2" t="inlineStr"/>
      <c r="N64" s="2" t="inlineStr">
        <is>
          <t>Nice and soft but the 2.5 will not go in the charging case. 1.8 does according to other reviews, wish I knew before.</t>
        </is>
      </c>
      <c r="O64" s="2" t="inlineStr"/>
      <c r="P64" s="2" t="inlineStr">
        <is>
          <t>放回充电盒时</t>
        </is>
      </c>
      <c r="Q64" s="2" t="inlineStr">
        <is>
          <t>硅胶软硬</t>
        </is>
      </c>
      <c r="R64" s="2" t="inlineStr">
        <is>
          <t>充电盒收纳</t>
        </is>
      </c>
      <c r="S64" s="2" t="inlineStr">
        <is>
          <t>充电盒收纳</t>
        </is>
      </c>
      <c r="T64" s="2" t="inlineStr"/>
      <c r="U64" s="2" t="inlineStr">
        <is>
          <t>充电盒收纳&gt;怎么个不行=放不进去或合不上盖</t>
        </is>
      </c>
      <c r="V64" s="2" t="inlineStr">
        <is>
          <t>页面的事</t>
        </is>
      </c>
      <c r="W64" s="2" t="inlineStr">
        <is>
          <t>中度</t>
        </is>
      </c>
      <c r="X64" s="2" t="inlineStr">
        <is>
          <t>中性</t>
        </is>
      </c>
    </row>
    <row r="65">
      <c r="A65" s="2" t="inlineStr">
        <is>
          <t>64</t>
        </is>
      </c>
      <c r="B65" s="2" t="inlineStr">
        <is>
          <t>SAMPLE-RV-0069</t>
        </is>
      </c>
      <c r="C65" s="2" t="inlineStr">
        <is>
          <t>5</t>
        </is>
      </c>
      <c r="D65" s="2" t="inlineStr">
        <is>
          <t>US</t>
        </is>
      </c>
      <c r="E65" s="2" t="inlineStr">
        <is>
          <t>智能眼镜 硅胶防滑鼻托 背胶款 2对装</t>
        </is>
      </c>
      <c r="F65" s="2" t="inlineStr">
        <is>
          <t>A款-防滑鼻托套装(2对装)</t>
        </is>
      </c>
      <c r="G65" s="2" t="inlineStr">
        <is>
          <t>大号款-2.5mm</t>
        </is>
      </c>
      <c r="H65" s="2" t="inlineStr">
        <is>
          <t>大号款</t>
        </is>
      </c>
      <c r="I65" s="2" t="inlineStr">
        <is>
          <t>2.5mm</t>
        </is>
      </c>
      <c r="J65" s="2" t="inlineStr">
        <is>
          <t>2026-05-28</t>
        </is>
      </c>
      <c r="K65" s="2" t="inlineStr">
        <is>
          <t>2026-05</t>
        </is>
      </c>
      <c r="L65" s="2" t="inlineStr">
        <is>
          <t>否</t>
        </is>
      </c>
      <c r="M65" s="2" t="inlineStr"/>
      <c r="N65" s="2" t="inlineStr">
        <is>
          <t>Great for my low bridge. Husband noticed I stopped fiddling with my glasses.</t>
        </is>
      </c>
      <c r="O65" s="2" t="inlineStr"/>
      <c r="P65" s="2" t="inlineStr"/>
      <c r="Q65" s="2" t="inlineStr">
        <is>
          <t>整体高度; 防滑效果(泛指)</t>
        </is>
      </c>
      <c r="R65" s="2" t="inlineStr"/>
      <c r="S65" s="2" t="inlineStr"/>
      <c r="T65" s="2" t="inlineStr"/>
      <c r="U65" s="2" t="inlineStr"/>
      <c r="V65" s="2" t="inlineStr"/>
      <c r="W65" s="2" t="inlineStr"/>
      <c r="X65" s="2" t="inlineStr">
        <is>
          <t>好评</t>
        </is>
      </c>
    </row>
    <row r="66">
      <c r="A66" s="2" t="inlineStr">
        <is>
          <t>65</t>
        </is>
      </c>
      <c r="B66" s="2" t="inlineStr">
        <is>
          <t>SAMPLE-RV-0070</t>
        </is>
      </c>
      <c r="C66" s="2" t="inlineStr">
        <is>
          <t>2</t>
        </is>
      </c>
      <c r="D66" s="2" t="inlineStr">
        <is>
          <t>US</t>
        </is>
      </c>
      <c r="E66" s="2" t="inlineStr">
        <is>
          <t>智能眼镜 硅胶防滑鼻托 背胶款 2对装</t>
        </is>
      </c>
      <c r="F66" s="2" t="inlineStr">
        <is>
          <t>A款-防滑鼻托套装(2对装)</t>
        </is>
      </c>
      <c r="G66" s="2" t="inlineStr">
        <is>
          <t>标准款-1.8mm</t>
        </is>
      </c>
      <c r="H66" s="2" t="inlineStr">
        <is>
          <t>标准款</t>
        </is>
      </c>
      <c r="I66" s="2" t="inlineStr">
        <is>
          <t>1.8mm</t>
        </is>
      </c>
      <c r="J66" s="2" t="inlineStr">
        <is>
          <t>2026-05-30</t>
        </is>
      </c>
      <c r="K66" s="2" t="inlineStr">
        <is>
          <t>2026-05</t>
        </is>
      </c>
      <c r="L66" s="2" t="inlineStr">
        <is>
          <t>否</t>
        </is>
      </c>
      <c r="M66" s="2" t="inlineStr"/>
      <c r="N66" s="2" t="inlineStr">
        <is>
          <t>Came off after a week. Left some sticky stuff on the frame too.</t>
        </is>
      </c>
      <c r="O66" s="2" t="inlineStr"/>
      <c r="P66" s="2" t="inlineStr"/>
      <c r="Q66" s="2" t="inlineStr"/>
      <c r="R66" s="2" t="inlineStr">
        <is>
          <t>背胶牢固度; 撕下后留胶</t>
        </is>
      </c>
      <c r="S66" s="2" t="inlineStr"/>
      <c r="T66" s="2" t="inlineStr"/>
      <c r="U66" s="2" t="inlineStr">
        <is>
          <t>背胶牢固度&gt;多久出的问题=一周内; 背胶牢固度&gt;什么场合=没说</t>
        </is>
      </c>
      <c r="V66" s="2" t="inlineStr">
        <is>
          <t>产品的事</t>
        </is>
      </c>
      <c r="W66" s="2" t="inlineStr">
        <is>
          <t>严重</t>
        </is>
      </c>
      <c r="X66" s="2" t="inlineStr">
        <is>
          <t>差评</t>
        </is>
      </c>
    </row>
    <row r="67">
      <c r="A67" s="2" t="inlineStr">
        <is>
          <t>66</t>
        </is>
      </c>
      <c r="B67" s="2" t="inlineStr">
        <is>
          <t>SAMPLE-RV-0071</t>
        </is>
      </c>
      <c r="C67" s="2" t="inlineStr">
        <is>
          <t>4</t>
        </is>
      </c>
      <c r="D67" s="2" t="inlineStr">
        <is>
          <t>US</t>
        </is>
      </c>
      <c r="E67" s="2" t="inlineStr">
        <is>
          <t>智能眼镜 硅胶防滑鼻托 背胶款 2对装</t>
        </is>
      </c>
      <c r="F67" s="2" t="inlineStr">
        <is>
          <t>A款-防滑鼻托套装(2对装)</t>
        </is>
      </c>
      <c r="G67" s="2" t="inlineStr">
        <is>
          <t>标准款-1.8mm</t>
        </is>
      </c>
      <c r="H67" s="2" t="inlineStr">
        <is>
          <t>标准款</t>
        </is>
      </c>
      <c r="I67" s="2" t="inlineStr">
        <is>
          <t>1.8mm</t>
        </is>
      </c>
      <c r="J67" s="2" t="inlineStr">
        <is>
          <t>2026-06-02</t>
        </is>
      </c>
      <c r="K67" s="2" t="inlineStr">
        <is>
          <t>2026-06</t>
        </is>
      </c>
      <c r="L67" s="2" t="inlineStr">
        <is>
          <t>否</t>
        </is>
      </c>
      <c r="M67" s="2" t="inlineStr"/>
      <c r="N67" s="2" t="inlineStr">
        <is>
          <t>Comfortable and they hold my glasses up. Edges are visible because the pad is wider than the original.</t>
        </is>
      </c>
      <c r="O67" s="2" t="inlineStr">
        <is>
          <t>原装鼻托</t>
        </is>
      </c>
      <c r="P67" s="2" t="inlineStr"/>
      <c r="Q67" s="2" t="inlineStr">
        <is>
          <t>佩戴舒适; 防滑效果(泛指)</t>
        </is>
      </c>
      <c r="R67" s="2" t="inlineStr">
        <is>
          <t>宽度与覆盖:偏宽; 外观隐形</t>
        </is>
      </c>
      <c r="S67" s="2" t="inlineStr"/>
      <c r="T67" s="2" t="inlineStr"/>
      <c r="U67" s="2" t="inlineStr"/>
      <c r="V67" s="2" t="inlineStr">
        <is>
          <t>产品的事</t>
        </is>
      </c>
      <c r="W67" s="2" t="inlineStr">
        <is>
          <t>轻度</t>
        </is>
      </c>
      <c r="X67" s="2" t="inlineStr">
        <is>
          <t>好评</t>
        </is>
      </c>
    </row>
    <row r="68">
      <c r="A68" s="2" t="inlineStr">
        <is>
          <t>67</t>
        </is>
      </c>
      <c r="B68" s="2" t="inlineStr">
        <is>
          <t>SAMPLE-RV-0072</t>
        </is>
      </c>
      <c r="C68" s="2" t="inlineStr">
        <is>
          <t>1</t>
        </is>
      </c>
      <c r="D68" s="2" t="inlineStr">
        <is>
          <t>US</t>
        </is>
      </c>
      <c r="E68" s="2" t="inlineStr">
        <is>
          <t>智能眼镜 硅胶防滑鼻托 背胶款 2对装</t>
        </is>
      </c>
      <c r="F68" s="2" t="inlineStr">
        <is>
          <t>A款-防滑鼻托套装(2对装)</t>
        </is>
      </c>
      <c r="G68" s="2" t="inlineStr">
        <is>
          <t>标准款-1.8mm</t>
        </is>
      </c>
      <c r="H68" s="2" t="inlineStr">
        <is>
          <t>标准款</t>
        </is>
      </c>
      <c r="I68" s="2" t="inlineStr">
        <is>
          <t>1.8mm</t>
        </is>
      </c>
      <c r="J68" s="2" t="inlineStr">
        <is>
          <t>2026-06-05</t>
        </is>
      </c>
      <c r="K68" s="2" t="inlineStr">
        <is>
          <t>2026-06</t>
        </is>
      </c>
      <c r="L68" s="2" t="inlineStr">
        <is>
          <t>否</t>
        </is>
      </c>
      <c r="M68" s="2" t="inlineStr"/>
      <c r="N68" s="2" t="inlineStr">
        <is>
          <t>Lasted four days. The glue is weak, pad slid off in the heat.</t>
        </is>
      </c>
      <c r="O68" s="2" t="inlineStr"/>
      <c r="P68" s="2" t="inlineStr"/>
      <c r="Q68" s="2" t="inlineStr"/>
      <c r="R68" s="2" t="inlineStr">
        <is>
          <t>背胶牢固度</t>
        </is>
      </c>
      <c r="S68" s="2" t="inlineStr"/>
      <c r="T68" s="2" t="inlineStr"/>
      <c r="U68" s="2" t="inlineStr">
        <is>
          <t>背胶牢固度&gt;多久出的问题=一周内; 背胶牢固度&gt;什么场合=出汗</t>
        </is>
      </c>
      <c r="V68" s="2" t="inlineStr">
        <is>
          <t>产品的事</t>
        </is>
      </c>
      <c r="W68" s="2" t="inlineStr">
        <is>
          <t>严重</t>
        </is>
      </c>
      <c r="X68" s="2" t="inlineStr">
        <is>
          <t>差评</t>
        </is>
      </c>
    </row>
    <row r="69">
      <c r="A69" s="2" t="inlineStr">
        <is>
          <t>68</t>
        </is>
      </c>
      <c r="B69" s="2" t="inlineStr">
        <is>
          <t>SAMPLE-RV-0073</t>
        </is>
      </c>
      <c r="C69" s="2" t="inlineStr">
        <is>
          <t>5</t>
        </is>
      </c>
      <c r="D69" s="2" t="inlineStr">
        <is>
          <t>US</t>
        </is>
      </c>
      <c r="E69" s="2" t="inlineStr">
        <is>
          <t>智能眼镜 硅胶防滑鼻托 背胶款 2对装</t>
        </is>
      </c>
      <c r="F69" s="2" t="inlineStr">
        <is>
          <t>A款-防滑鼻托套装(2对装)</t>
        </is>
      </c>
      <c r="G69" s="2" t="inlineStr">
        <is>
          <t>标准款-2.5mm</t>
        </is>
      </c>
      <c r="H69" s="2" t="inlineStr">
        <is>
          <t>标准款</t>
        </is>
      </c>
      <c r="I69" s="2" t="inlineStr">
        <is>
          <t>2.5mm</t>
        </is>
      </c>
      <c r="J69" s="2" t="inlineStr">
        <is>
          <t>2026-06-08</t>
        </is>
      </c>
      <c r="K69" s="2" t="inlineStr">
        <is>
          <t>2026-06</t>
        </is>
      </c>
      <c r="L69" s="2" t="inlineStr">
        <is>
          <t>否</t>
        </is>
      </c>
      <c r="M69" s="2" t="inlineStr"/>
      <c r="N69" s="2" t="inlineStr">
        <is>
          <t>Still the best fix for a flat nose bridge. On my second set.</t>
        </is>
      </c>
      <c r="O69" s="2" t="inlineStr">
        <is>
          <t>复购</t>
        </is>
      </c>
      <c r="P69" s="2" t="inlineStr"/>
      <c r="Q69" s="2" t="inlineStr">
        <is>
          <t>整体高度</t>
        </is>
      </c>
      <c r="R69" s="2" t="inlineStr"/>
      <c r="S69" s="2" t="inlineStr"/>
      <c r="T69" s="2" t="inlineStr"/>
      <c r="U69" s="2" t="inlineStr"/>
      <c r="V69" s="2" t="inlineStr"/>
      <c r="W69" s="2" t="inlineStr"/>
      <c r="X69" s="2" t="inlineStr">
        <is>
          <t>好评</t>
        </is>
      </c>
    </row>
    <row r="70">
      <c r="A70" s="2" t="inlineStr">
        <is>
          <t>69</t>
        </is>
      </c>
      <c r="B70" s="2" t="inlineStr">
        <is>
          <t>SAMPLE-RV-0074</t>
        </is>
      </c>
      <c r="C70" s="2" t="inlineStr">
        <is>
          <t>2</t>
        </is>
      </c>
      <c r="D70" s="2" t="inlineStr">
        <is>
          <t>US</t>
        </is>
      </c>
      <c r="E70" s="2" t="inlineStr">
        <is>
          <t>智能眼镜 硅胶防滑鼻托 背胶款 2对装</t>
        </is>
      </c>
      <c r="F70" s="2" t="inlineStr">
        <is>
          <t>A款-防滑鼻托套装(2对装)</t>
        </is>
      </c>
      <c r="G70" s="2" t="inlineStr">
        <is>
          <t>标准款-2.5mm</t>
        </is>
      </c>
      <c r="H70" s="2" t="inlineStr">
        <is>
          <t>标准款</t>
        </is>
      </c>
      <c r="I70" s="2" t="inlineStr">
        <is>
          <t>2.5mm</t>
        </is>
      </c>
      <c r="J70" s="2" t="inlineStr">
        <is>
          <t>2026-06-11</t>
        </is>
      </c>
      <c r="K70" s="2" t="inlineStr">
        <is>
          <t>2026-06</t>
        </is>
      </c>
      <c r="L70" s="2" t="inlineStr">
        <is>
          <t>否</t>
        </is>
      </c>
      <c r="M70" s="2" t="inlineStr"/>
      <c r="N70" s="2" t="inlineStr">
        <is>
          <t>Does not fit the case and the adhesive is already peeling at one corner after a week.</t>
        </is>
      </c>
      <c r="O70" s="2" t="inlineStr"/>
      <c r="P70" s="2" t="inlineStr">
        <is>
          <t>放回充电盒时</t>
        </is>
      </c>
      <c r="Q70" s="2" t="inlineStr"/>
      <c r="R70" s="2" t="inlineStr">
        <is>
          <t>充电盒收纳; 背胶牢固度</t>
        </is>
      </c>
      <c r="S70" s="2" t="inlineStr"/>
      <c r="T70" s="2" t="inlineStr"/>
      <c r="U70" s="2" t="inlineStr">
        <is>
          <t>充电盒收纳&gt;怎么个不行=放不进去或合不上盖; 背胶牢固度&gt;多久出的问题=一周内; 背胶牢固度&gt;什么场合=没说</t>
        </is>
      </c>
      <c r="V70" s="2" t="inlineStr">
        <is>
          <t>产品的事</t>
        </is>
      </c>
      <c r="W70" s="2" t="inlineStr">
        <is>
          <t>中度</t>
        </is>
      </c>
      <c r="X70" s="2" t="inlineStr">
        <is>
          <t>差评</t>
        </is>
      </c>
    </row>
    <row r="71">
      <c r="A71" s="2" t="inlineStr">
        <is>
          <t>70</t>
        </is>
      </c>
      <c r="B71" s="2" t="inlineStr">
        <is>
          <t>SAMPLE-RV-0075</t>
        </is>
      </c>
      <c r="C71" s="2" t="inlineStr">
        <is>
          <t>5</t>
        </is>
      </c>
      <c r="D71" s="2" t="inlineStr">
        <is>
          <t>US</t>
        </is>
      </c>
      <c r="E71" s="2" t="inlineStr">
        <is>
          <t>智能眼镜 硅胶防滑鼻托 背胶款 2对装</t>
        </is>
      </c>
      <c r="F71" s="2" t="inlineStr">
        <is>
          <t>A款-防滑鼻托套装(2对装)</t>
        </is>
      </c>
      <c r="G71" s="2" t="inlineStr">
        <is>
          <t>大号款-1.8mm</t>
        </is>
      </c>
      <c r="H71" s="2" t="inlineStr">
        <is>
          <t>大号款</t>
        </is>
      </c>
      <c r="I71" s="2" t="inlineStr">
        <is>
          <t>1.8mm</t>
        </is>
      </c>
      <c r="J71" s="2" t="inlineStr">
        <is>
          <t>2026-06-14</t>
        </is>
      </c>
      <c r="K71" s="2" t="inlineStr">
        <is>
          <t>2026-06</t>
        </is>
      </c>
      <c r="L71" s="2" t="inlineStr">
        <is>
          <t>否</t>
        </is>
      </c>
      <c r="M71" s="2" t="inlineStr"/>
      <c r="N71" s="2" t="inlineStr">
        <is>
          <t>Comfortable, invisible, stays put. Happy.</t>
        </is>
      </c>
      <c r="O71" s="2" t="inlineStr"/>
      <c r="P71" s="2" t="inlineStr"/>
      <c r="Q71" s="2" t="inlineStr">
        <is>
          <t>佩戴舒适; 外观隐形; 防滑效果(泛指)</t>
        </is>
      </c>
      <c r="R71" s="2" t="inlineStr"/>
      <c r="S71" s="2" t="inlineStr"/>
      <c r="T71" s="2" t="inlineStr"/>
      <c r="U71" s="2" t="inlineStr"/>
      <c r="V71" s="2" t="inlineStr"/>
      <c r="W71" s="2" t="inlineStr"/>
      <c r="X71" s="2" t="inlineStr">
        <is>
          <t>好评</t>
        </is>
      </c>
    </row>
    <row r="72">
      <c r="A72" s="2" t="inlineStr">
        <is>
          <t>71</t>
        </is>
      </c>
      <c r="B72" s="2" t="inlineStr">
        <is>
          <t>SAMPLE-RV-0076</t>
        </is>
      </c>
      <c r="C72" s="2" t="inlineStr">
        <is>
          <t>3</t>
        </is>
      </c>
      <c r="D72" s="2" t="inlineStr">
        <is>
          <t>US</t>
        </is>
      </c>
      <c r="E72" s="2" t="inlineStr">
        <is>
          <t>智能眼镜 硅胶防滑鼻托 背胶款 2对装</t>
        </is>
      </c>
      <c r="F72" s="2" t="inlineStr">
        <is>
          <t>A款-防滑鼻托套装(2对装)</t>
        </is>
      </c>
      <c r="G72" s="2" t="inlineStr">
        <is>
          <t>标准款-1.8mm</t>
        </is>
      </c>
      <c r="H72" s="2" t="inlineStr">
        <is>
          <t>标准款</t>
        </is>
      </c>
      <c r="I72" s="2" t="inlineStr">
        <is>
          <t>1.8mm</t>
        </is>
      </c>
      <c r="J72" s="2" t="inlineStr">
        <is>
          <t>2026-06-17</t>
        </is>
      </c>
      <c r="K72" s="2" t="inlineStr">
        <is>
          <t>2026-06</t>
        </is>
      </c>
      <c r="L72" s="2" t="inlineStr">
        <is>
          <t>否</t>
        </is>
      </c>
      <c r="M72" s="2" t="inlineStr"/>
      <c r="N72" s="2" t="inlineStr">
        <is>
          <t>It helps with sliding, comfort is good. But mine turned yellowish within a month which looks bad on black frames.</t>
        </is>
      </c>
      <c r="O72" s="2" t="inlineStr"/>
      <c r="P72" s="2" t="inlineStr"/>
      <c r="Q72" s="2" t="inlineStr">
        <is>
          <t>防滑效果(泛指); 佩戴舒适</t>
        </is>
      </c>
      <c r="R72" s="2" t="inlineStr">
        <is>
          <t>耐黄变; 外观隐形</t>
        </is>
      </c>
      <c r="S72" s="2" t="inlineStr"/>
      <c r="T72" s="2" t="inlineStr">
        <is>
          <t>外观自然度</t>
        </is>
      </c>
      <c r="U72" s="2" t="inlineStr"/>
      <c r="V72" s="2" t="inlineStr">
        <is>
          <t>产品的事</t>
        </is>
      </c>
      <c r="W72" s="2" t="inlineStr">
        <is>
          <t>中度</t>
        </is>
      </c>
      <c r="X72" s="2" t="inlineStr">
        <is>
          <t>中性</t>
        </is>
      </c>
    </row>
    <row r="73">
      <c r="A73" s="2" t="inlineStr">
        <is>
          <t>72</t>
        </is>
      </c>
      <c r="B73" s="2" t="inlineStr">
        <is>
          <t>SAMPLE-RV-0077</t>
        </is>
      </c>
      <c r="C73" s="2" t="inlineStr">
        <is>
          <t>1</t>
        </is>
      </c>
      <c r="D73" s="2" t="inlineStr">
        <is>
          <t>US</t>
        </is>
      </c>
      <c r="E73" s="2" t="inlineStr">
        <is>
          <t>智能眼镜 硅胶防滑鼻托 背胶款 2对装</t>
        </is>
      </c>
      <c r="F73" s="2" t="inlineStr">
        <is>
          <t>A款-防滑鼻托套装(2对装)</t>
        </is>
      </c>
      <c r="G73" s="2" t="inlineStr">
        <is>
          <t>标准款-2.5mm</t>
        </is>
      </c>
      <c r="H73" s="2" t="inlineStr">
        <is>
          <t>标准款</t>
        </is>
      </c>
      <c r="I73" s="2" t="inlineStr">
        <is>
          <t>2.5mm</t>
        </is>
      </c>
      <c r="J73" s="2" t="inlineStr">
        <is>
          <t>2026-06-20</t>
        </is>
      </c>
      <c r="K73" s="2" t="inlineStr">
        <is>
          <t>2026-06</t>
        </is>
      </c>
      <c r="L73" s="2" t="inlineStr">
        <is>
          <t>否</t>
        </is>
      </c>
      <c r="M73" s="2" t="inlineStr"/>
      <c r="N73" s="2" t="inlineStr">
        <is>
          <t>Fell off inside the charging case and jammed it. Had to fish it out with tweezers.</t>
        </is>
      </c>
      <c r="O73" s="2" t="inlineStr"/>
      <c r="P73" s="2" t="inlineStr">
        <is>
          <t>放回充电盒时</t>
        </is>
      </c>
      <c r="Q73" s="2" t="inlineStr"/>
      <c r="R73" s="2" t="inlineStr">
        <is>
          <t>背胶牢固度</t>
        </is>
      </c>
      <c r="S73" s="2" t="inlineStr"/>
      <c r="T73" s="2" t="inlineStr"/>
      <c r="U73" s="2" t="inlineStr">
        <is>
          <t>背胶牢固度&gt;多久出的问题=没说; 背胶牢固度&gt;什么场合=放充电盒时</t>
        </is>
      </c>
      <c r="V73" s="2" t="inlineStr">
        <is>
          <t>产品的事</t>
        </is>
      </c>
      <c r="W73" s="2" t="inlineStr">
        <is>
          <t>严重</t>
        </is>
      </c>
      <c r="X73" s="2" t="inlineStr">
        <is>
          <t>差评</t>
        </is>
      </c>
    </row>
    <row r="74">
      <c r="A74" s="2" t="inlineStr">
        <is>
          <t>73</t>
        </is>
      </c>
      <c r="B74" s="2" t="inlineStr">
        <is>
          <t>SAMPLE-RV-0078</t>
        </is>
      </c>
      <c r="C74" s="2" t="inlineStr">
        <is>
          <t>4</t>
        </is>
      </c>
      <c r="D74" s="2" t="inlineStr">
        <is>
          <t>US</t>
        </is>
      </c>
      <c r="E74" s="2" t="inlineStr">
        <is>
          <t>智能眼镜 硅胶防滑鼻托 背胶款 2对装</t>
        </is>
      </c>
      <c r="F74" s="2" t="inlineStr">
        <is>
          <t>A款-防滑鼻托套装(2对装)</t>
        </is>
      </c>
      <c r="G74" s="2" t="inlineStr">
        <is>
          <t>标准款-1.8mm</t>
        </is>
      </c>
      <c r="H74" s="2" t="inlineStr">
        <is>
          <t>标准款</t>
        </is>
      </c>
      <c r="I74" s="2" t="inlineStr">
        <is>
          <t>1.8mm</t>
        </is>
      </c>
      <c r="J74" s="2" t="inlineStr">
        <is>
          <t>2026-06-23</t>
        </is>
      </c>
      <c r="K74" s="2" t="inlineStr">
        <is>
          <t>2026-06</t>
        </is>
      </c>
      <c r="L74" s="2" t="inlineStr">
        <is>
          <t>否</t>
        </is>
      </c>
      <c r="M74" s="2" t="inlineStr"/>
      <c r="N74" s="2" t="inlineStr">
        <is>
          <t>Works as described. Wider than needed.</t>
        </is>
      </c>
      <c r="O74" s="2" t="inlineStr"/>
      <c r="P74" s="2" t="inlineStr"/>
      <c r="Q74" s="2" t="inlineStr">
        <is>
          <t>质量(泛指)</t>
        </is>
      </c>
      <c r="R74" s="2" t="inlineStr">
        <is>
          <t>宽度与覆盖:偏宽</t>
        </is>
      </c>
      <c r="S74" s="2" t="inlineStr"/>
      <c r="T74" s="2" t="inlineStr"/>
      <c r="U74" s="2" t="inlineStr"/>
      <c r="V74" s="2" t="inlineStr">
        <is>
          <t>产品的事</t>
        </is>
      </c>
      <c r="W74" s="2" t="inlineStr">
        <is>
          <t>轻度</t>
        </is>
      </c>
      <c r="X74" s="2" t="inlineStr">
        <is>
          <t>好评</t>
        </is>
      </c>
    </row>
    <row r="75">
      <c r="A75" s="2" t="inlineStr">
        <is>
          <t>74</t>
        </is>
      </c>
      <c r="B75" s="2" t="inlineStr">
        <is>
          <t>SAMPLE-RV-0079</t>
        </is>
      </c>
      <c r="C75" s="2" t="inlineStr">
        <is>
          <t>5</t>
        </is>
      </c>
      <c r="D75" s="2" t="inlineStr">
        <is>
          <t>US</t>
        </is>
      </c>
      <c r="E75" s="2" t="inlineStr">
        <is>
          <t>智能眼镜 硅胶防滑鼻托 背胶款 2对装</t>
        </is>
      </c>
      <c r="F75" s="2" t="inlineStr">
        <is>
          <t>A款-防滑鼻托套装(2对装)</t>
        </is>
      </c>
      <c r="G75" s="2" t="inlineStr">
        <is>
          <t>标准款-1.8mm</t>
        </is>
      </c>
      <c r="H75" s="2" t="inlineStr">
        <is>
          <t>标准款</t>
        </is>
      </c>
      <c r="I75" s="2" t="inlineStr">
        <is>
          <t>1.8mm</t>
        </is>
      </c>
      <c r="J75" s="2" t="inlineStr">
        <is>
          <t>2026-06-26</t>
        </is>
      </c>
      <c r="K75" s="2" t="inlineStr">
        <is>
          <t>2026-06</t>
        </is>
      </c>
      <c r="L75" s="2" t="inlineStr">
        <is>
          <t>否</t>
        </is>
      </c>
      <c r="M75" s="2" t="inlineStr"/>
      <c r="N75" s="2" t="inlineStr">
        <is>
          <t>Comfy and secure for my daily commute.</t>
        </is>
      </c>
      <c r="O75" s="2" t="inlineStr"/>
      <c r="P75" s="2" t="inlineStr">
        <is>
          <t>全天佩戴</t>
        </is>
      </c>
      <c r="Q75" s="2" t="inlineStr">
        <is>
          <t>佩戴舒适; 防滑效果(泛指)</t>
        </is>
      </c>
      <c r="R75" s="2" t="inlineStr"/>
      <c r="S75" s="2" t="inlineStr"/>
      <c r="T75" s="2" t="inlineStr"/>
      <c r="U75" s="2" t="inlineStr"/>
      <c r="V75" s="2" t="inlineStr"/>
      <c r="W75" s="2" t="inlineStr"/>
      <c r="X75" s="2" t="inlineStr">
        <is>
          <t>好评</t>
        </is>
      </c>
    </row>
    <row r="76">
      <c r="A76" s="2" t="inlineStr">
        <is>
          <t>75</t>
        </is>
      </c>
      <c r="B76" s="2" t="inlineStr">
        <is>
          <t>SAMPLE-RV-0080</t>
        </is>
      </c>
      <c r="C76" s="2" t="inlineStr">
        <is>
          <t>2</t>
        </is>
      </c>
      <c r="D76" s="2" t="inlineStr">
        <is>
          <t>US</t>
        </is>
      </c>
      <c r="E76" s="2" t="inlineStr">
        <is>
          <t>智能眼镜 硅胶防滑鼻托 背胶款 2对装</t>
        </is>
      </c>
      <c r="F76" s="2" t="inlineStr">
        <is>
          <t>A款-防滑鼻托套装(2对装)</t>
        </is>
      </c>
      <c r="G76" s="2" t="inlineStr">
        <is>
          <t>大号款-2.5mm</t>
        </is>
      </c>
      <c r="H76" s="2" t="inlineStr">
        <is>
          <t>大号款</t>
        </is>
      </c>
      <c r="I76" s="2" t="inlineStr">
        <is>
          <t>2.5mm</t>
        </is>
      </c>
      <c r="J76" s="2" t="inlineStr">
        <is>
          <t>2026-06-29</t>
        </is>
      </c>
      <c r="K76" s="2" t="inlineStr">
        <is>
          <t>2026-06</t>
        </is>
      </c>
      <c r="L76" s="2" t="inlineStr">
        <is>
          <t>否</t>
        </is>
      </c>
      <c r="M76" s="2" t="inlineStr"/>
      <c r="N76" s="2" t="inlineStr">
        <is>
          <t>Not impressed. Peeled off when I cleaned my glasses. Will not reorder.</t>
        </is>
      </c>
      <c r="O76" s="2" t="inlineStr">
        <is>
          <t>彻底放弃</t>
        </is>
      </c>
      <c r="P76" s="2" t="inlineStr"/>
      <c r="Q76" s="2" t="inlineStr"/>
      <c r="R76" s="2" t="inlineStr">
        <is>
          <t>背胶牢固度</t>
        </is>
      </c>
      <c r="S76" s="2" t="inlineStr"/>
      <c r="T76" s="2" t="inlineStr"/>
      <c r="U76" s="2" t="inlineStr">
        <is>
          <t>背胶牢固度&gt;多久出的问题=没说; 背胶牢固度&gt;什么场合=日常佩戴</t>
        </is>
      </c>
      <c r="V76" s="2" t="inlineStr">
        <is>
          <t>产品的事</t>
        </is>
      </c>
      <c r="W76" s="2" t="inlineStr">
        <is>
          <t>严重</t>
        </is>
      </c>
      <c r="X76" s="2" t="inlineStr">
        <is>
          <t>差评</t>
        </is>
      </c>
    </row>
    <row r="77">
      <c r="A77" s="2" t="inlineStr">
        <is>
          <t>76</t>
        </is>
      </c>
      <c r="B77" s="2" t="inlineStr">
        <is>
          <t>SAMPLE-RV-0081</t>
        </is>
      </c>
      <c r="C77" s="2" t="inlineStr">
        <is>
          <t>5</t>
        </is>
      </c>
      <c r="D77" s="2" t="inlineStr">
        <is>
          <t>US</t>
        </is>
      </c>
      <c r="E77" s="2" t="inlineStr">
        <is>
          <t>智能眼镜 硅胶防滑鼻托 背胶款 2对装</t>
        </is>
      </c>
      <c r="F77" s="2" t="inlineStr">
        <is>
          <t>A款-防滑鼻托套装(2对装)</t>
        </is>
      </c>
      <c r="G77" s="2" t="inlineStr">
        <is>
          <t>标准款-1.8mm</t>
        </is>
      </c>
      <c r="H77" s="2" t="inlineStr">
        <is>
          <t>标准款</t>
        </is>
      </c>
      <c r="I77" s="2" t="inlineStr">
        <is>
          <t>1.8mm</t>
        </is>
      </c>
      <c r="J77" s="2" t="inlineStr">
        <is>
          <t>2026-07-02</t>
        </is>
      </c>
      <c r="K77" s="2" t="inlineStr">
        <is>
          <t>2026-07</t>
        </is>
      </c>
      <c r="L77" s="2" t="inlineStr">
        <is>
          <t>否</t>
        </is>
      </c>
      <c r="M77" s="2" t="inlineStr"/>
      <c r="N77" s="2" t="inlineStr">
        <is>
          <t>Great comfort, no slipping at my desk all day.</t>
        </is>
      </c>
      <c r="O77" s="2" t="inlineStr"/>
      <c r="P77" s="2" t="inlineStr">
        <is>
          <t>全天佩戴</t>
        </is>
      </c>
      <c r="Q77" s="2" t="inlineStr">
        <is>
          <t>佩戴舒适; 防滑效果(泛指)</t>
        </is>
      </c>
      <c r="R77" s="2" t="inlineStr"/>
      <c r="S77" s="2" t="inlineStr"/>
      <c r="T77" s="2" t="inlineStr"/>
      <c r="U77" s="2" t="inlineStr"/>
      <c r="V77" s="2" t="inlineStr"/>
      <c r="W77" s="2" t="inlineStr"/>
      <c r="X77" s="2" t="inlineStr">
        <is>
          <t>好评</t>
        </is>
      </c>
    </row>
    <row r="78">
      <c r="A78" s="2" t="inlineStr">
        <is>
          <t>77</t>
        </is>
      </c>
      <c r="B78" s="2" t="inlineStr">
        <is>
          <t>SAMPLE-RV-0082</t>
        </is>
      </c>
      <c r="C78" s="2" t="inlineStr">
        <is>
          <t>1</t>
        </is>
      </c>
      <c r="D78" s="2" t="inlineStr">
        <is>
          <t>US</t>
        </is>
      </c>
      <c r="E78" s="2" t="inlineStr">
        <is>
          <t>智能眼镜 硅胶防滑鼻托 背胶款 2对装</t>
        </is>
      </c>
      <c r="F78" s="2" t="inlineStr">
        <is>
          <t>A款-防滑鼻托套装(2对装)</t>
        </is>
      </c>
      <c r="G78" s="2" t="inlineStr">
        <is>
          <t>标准款-2.5mm</t>
        </is>
      </c>
      <c r="H78" s="2" t="inlineStr">
        <is>
          <t>标准款</t>
        </is>
      </c>
      <c r="I78" s="2" t="inlineStr">
        <is>
          <t>2.5mm</t>
        </is>
      </c>
      <c r="J78" s="2" t="inlineStr">
        <is>
          <t>2026-07-06</t>
        </is>
      </c>
      <c r="K78" s="2" t="inlineStr">
        <is>
          <t>2026-07</t>
        </is>
      </c>
      <c r="L78" s="2" t="inlineStr">
        <is>
          <t>否</t>
        </is>
      </c>
      <c r="M78" s="2" t="inlineStr"/>
      <c r="N78" s="2" t="inlineStr">
        <is>
          <t>Sweat proof? No. Gone after one workout. Do not believe the listing.</t>
        </is>
      </c>
      <c r="O78" s="2" t="inlineStr"/>
      <c r="P78" s="2" t="inlineStr">
        <is>
          <t>运动出汗</t>
        </is>
      </c>
      <c r="Q78" s="2" t="inlineStr"/>
      <c r="R78" s="2" t="inlineStr">
        <is>
          <t>背胶牢固度; 防滑宣称兑现度</t>
        </is>
      </c>
      <c r="S78" s="2" t="inlineStr">
        <is>
          <t>背胶牢固度</t>
        </is>
      </c>
      <c r="T78" s="2" t="inlineStr"/>
      <c r="U78" s="2" t="inlineStr">
        <is>
          <t>背胶牢固度&gt;多久出的问题=没说; 背胶牢固度&gt;什么场合=出汗</t>
        </is>
      </c>
      <c r="V78" s="2" t="inlineStr">
        <is>
          <t>页面的事</t>
        </is>
      </c>
      <c r="W78" s="2" t="inlineStr">
        <is>
          <t>严重</t>
        </is>
      </c>
      <c r="X78" s="2" t="inlineStr">
        <is>
          <t>差评</t>
        </is>
      </c>
    </row>
    <row r="79">
      <c r="A79" s="2" t="inlineStr">
        <is>
          <t>78</t>
        </is>
      </c>
      <c r="B79" s="2" t="inlineStr">
        <is>
          <t>SAMPLE-RV-0083</t>
        </is>
      </c>
      <c r="C79" s="2" t="inlineStr">
        <is>
          <t>4</t>
        </is>
      </c>
      <c r="D79" s="2" t="inlineStr">
        <is>
          <t>US</t>
        </is>
      </c>
      <c r="E79" s="2" t="inlineStr">
        <is>
          <t>智能眼镜 硅胶防滑鼻托 背胶款 2对装</t>
        </is>
      </c>
      <c r="F79" s="2" t="inlineStr">
        <is>
          <t>A款-防滑鼻托套装(2对装)</t>
        </is>
      </c>
      <c r="G79" s="2" t="inlineStr">
        <is>
          <t>大号款-1.8mm</t>
        </is>
      </c>
      <c r="H79" s="2" t="inlineStr">
        <is>
          <t>大号款</t>
        </is>
      </c>
      <c r="I79" s="2" t="inlineStr">
        <is>
          <t>1.8mm</t>
        </is>
      </c>
      <c r="J79" s="2" t="inlineStr">
        <is>
          <t>2026-07-09</t>
        </is>
      </c>
      <c r="K79" s="2" t="inlineStr">
        <is>
          <t>2026-07</t>
        </is>
      </c>
      <c r="L79" s="2" t="inlineStr">
        <is>
          <t>否</t>
        </is>
      </c>
      <c r="M79" s="2" t="inlineStr"/>
      <c r="N79" s="2" t="inlineStr">
        <is>
          <t>Fits large frames, fits the case. Could be narrower.</t>
        </is>
      </c>
      <c r="O79" s="2" t="inlineStr"/>
      <c r="P79" s="2" t="inlineStr">
        <is>
          <t>放回充电盒时</t>
        </is>
      </c>
      <c r="Q79" s="2" t="inlineStr">
        <is>
          <t>机型适配; 充电盒收纳</t>
        </is>
      </c>
      <c r="R79" s="2" t="inlineStr">
        <is>
          <t>宽度与覆盖:偏宽</t>
        </is>
      </c>
      <c r="S79" s="2" t="inlineStr"/>
      <c r="T79" s="2" t="inlineStr"/>
      <c r="U79" s="2" t="inlineStr"/>
      <c r="V79" s="2" t="inlineStr">
        <is>
          <t>产品的事</t>
        </is>
      </c>
      <c r="W79" s="2" t="inlineStr">
        <is>
          <t>轻度</t>
        </is>
      </c>
      <c r="X79" s="2" t="inlineStr">
        <is>
          <t>好评</t>
        </is>
      </c>
    </row>
    <row r="80">
      <c r="A80" s="2" t="inlineStr">
        <is>
          <t>79</t>
        </is>
      </c>
      <c r="B80" s="2" t="inlineStr">
        <is>
          <t>SAMPLE-RV-0084</t>
        </is>
      </c>
      <c r="C80" s="2" t="inlineStr">
        <is>
          <t>2</t>
        </is>
      </c>
      <c r="D80" s="2" t="inlineStr">
        <is>
          <t>US</t>
        </is>
      </c>
      <c r="E80" s="2" t="inlineStr">
        <is>
          <t>智能眼镜 硅胶防滑鼻托 背胶款 2对装</t>
        </is>
      </c>
      <c r="F80" s="2" t="inlineStr">
        <is>
          <t>A款-防滑鼻托套装(2对装)</t>
        </is>
      </c>
      <c r="G80" s="2" t="inlineStr">
        <is>
          <t>标准款-1.8mm</t>
        </is>
      </c>
      <c r="H80" s="2" t="inlineStr">
        <is>
          <t>标准款</t>
        </is>
      </c>
      <c r="I80" s="2" t="inlineStr">
        <is>
          <t>1.8mm</t>
        </is>
      </c>
      <c r="J80" s="2" t="inlineStr">
        <is>
          <t>2026-07-13</t>
        </is>
      </c>
      <c r="K80" s="2" t="inlineStr">
        <is>
          <t>2026-07</t>
        </is>
      </c>
      <c r="L80" s="2" t="inlineStr">
        <is>
          <t>否</t>
        </is>
      </c>
      <c r="M80" s="2" t="inlineStr"/>
      <c r="N80" s="2" t="inlineStr">
        <is>
          <t>The pads are fine when they stay on. Mine lasted about a week each. Out of spares already.</t>
        </is>
      </c>
      <c r="O80" s="2" t="inlineStr"/>
      <c r="P80" s="2" t="inlineStr"/>
      <c r="Q80" s="2" t="inlineStr"/>
      <c r="R80" s="2" t="inlineStr">
        <is>
          <t>背胶牢固度</t>
        </is>
      </c>
      <c r="S80" s="2" t="inlineStr"/>
      <c r="T80" s="2" t="inlineStr"/>
      <c r="U80" s="2" t="inlineStr">
        <is>
          <t>背胶牢固度&gt;多久出的问题=一周内; 背胶牢固度&gt;什么场合=没说</t>
        </is>
      </c>
      <c r="V80" s="2" t="inlineStr">
        <is>
          <t>产品的事</t>
        </is>
      </c>
      <c r="W80" s="2" t="inlineStr">
        <is>
          <t>严重</t>
        </is>
      </c>
      <c r="X80" s="2" t="inlineStr">
        <is>
          <t>差评</t>
        </is>
      </c>
    </row>
    <row r="81">
      <c r="A81" s="2" t="inlineStr">
        <is>
          <t>80</t>
        </is>
      </c>
      <c r="B81" s="2" t="inlineStr">
        <is>
          <t>SAMPLE-RV-0085</t>
        </is>
      </c>
      <c r="C81" s="2" t="inlineStr">
        <is>
          <t>5</t>
        </is>
      </c>
      <c r="D81" s="2" t="inlineStr">
        <is>
          <t>US</t>
        </is>
      </c>
      <c r="E81" s="2" t="inlineStr">
        <is>
          <t>智能眼镜 硅胶防滑鼻托 背胶款 2对装</t>
        </is>
      </c>
      <c r="F81" s="2" t="inlineStr">
        <is>
          <t>A款-防滑鼻托套装(2对装)</t>
        </is>
      </c>
      <c r="G81" s="2" t="inlineStr">
        <is>
          <t>标准款-2.5mm</t>
        </is>
      </c>
      <c r="H81" s="2" t="inlineStr">
        <is>
          <t>标准款</t>
        </is>
      </c>
      <c r="I81" s="2" t="inlineStr">
        <is>
          <t>2.5mm</t>
        </is>
      </c>
      <c r="J81" s="2" t="inlineStr">
        <is>
          <t>2026-07-16</t>
        </is>
      </c>
      <c r="K81" s="2" t="inlineStr">
        <is>
          <t>2026-07</t>
        </is>
      </c>
      <c r="L81" s="2" t="inlineStr">
        <is>
          <t>否</t>
        </is>
      </c>
      <c r="M81" s="2" t="inlineStr"/>
      <c r="N81" s="2" t="inlineStr">
        <is>
          <t>Perfect lift for my nose, glasses finally sit level.</t>
        </is>
      </c>
      <c r="O81" s="2" t="inlineStr"/>
      <c r="P81" s="2" t="inlineStr"/>
      <c r="Q81" s="2" t="inlineStr">
        <is>
          <t>整体高度</t>
        </is>
      </c>
      <c r="R81" s="2" t="inlineStr"/>
      <c r="S81" s="2" t="inlineStr"/>
      <c r="T81" s="2" t="inlineStr"/>
      <c r="U81" s="2" t="inlineStr"/>
      <c r="V81" s="2" t="inlineStr"/>
      <c r="W81" s="2" t="inlineStr"/>
      <c r="X81" s="2" t="inlineStr">
        <is>
          <t>好评</t>
        </is>
      </c>
    </row>
    <row r="82">
      <c r="A82" s="2" t="inlineStr">
        <is>
          <t>81</t>
        </is>
      </c>
      <c r="B82" s="2" t="inlineStr">
        <is>
          <t>SAMPLE-RV-0086</t>
        </is>
      </c>
      <c r="C82" s="2" t="inlineStr">
        <is>
          <t>3</t>
        </is>
      </c>
      <c r="D82" s="2" t="inlineStr">
        <is>
          <t>US</t>
        </is>
      </c>
      <c r="E82" s="2" t="inlineStr">
        <is>
          <t>智能眼镜 硅胶防滑鼻托 背胶款 2对装</t>
        </is>
      </c>
      <c r="F82" s="2" t="inlineStr">
        <is>
          <t>A款-防滑鼻托套装(2对装)</t>
        </is>
      </c>
      <c r="G82" s="2" t="inlineStr">
        <is>
          <t>标准款-1.8mm</t>
        </is>
      </c>
      <c r="H82" s="2" t="inlineStr">
        <is>
          <t>标准款</t>
        </is>
      </c>
      <c r="I82" s="2" t="inlineStr">
        <is>
          <t>1.8mm</t>
        </is>
      </c>
      <c r="J82" s="2" t="inlineStr">
        <is>
          <t>2026-07-19</t>
        </is>
      </c>
      <c r="K82" s="2" t="inlineStr">
        <is>
          <t>2026-07</t>
        </is>
      </c>
      <c r="L82" s="2" t="inlineStr">
        <is>
          <t>否</t>
        </is>
      </c>
      <c r="M82" s="2" t="inlineStr"/>
      <c r="N82" s="2" t="inlineStr">
        <is>
          <t>Comfortable. Adhesive is hit or miss, one side is solid and the other keeps lifting.</t>
        </is>
      </c>
      <c r="O82" s="2" t="inlineStr"/>
      <c r="P82" s="2" t="inlineStr"/>
      <c r="Q82" s="2" t="inlineStr">
        <is>
          <t>佩戴舒适</t>
        </is>
      </c>
      <c r="R82" s="2" t="inlineStr">
        <is>
          <t>背胶牢固度</t>
        </is>
      </c>
      <c r="S82" s="2" t="inlineStr"/>
      <c r="T82" s="2" t="inlineStr"/>
      <c r="U82" s="2" t="inlineStr">
        <is>
          <t>背胶牢固度&gt;多久出的问题=没说; 背胶牢固度&gt;什么场合=没说</t>
        </is>
      </c>
      <c r="V82" s="2" t="inlineStr">
        <is>
          <t>产品的事</t>
        </is>
      </c>
      <c r="W82" s="2" t="inlineStr">
        <is>
          <t>中度</t>
        </is>
      </c>
      <c r="X82" s="2" t="inlineStr">
        <is>
          <t>中性</t>
        </is>
      </c>
    </row>
    <row r="83">
      <c r="A83" s="2" t="inlineStr">
        <is>
          <t>82</t>
        </is>
      </c>
      <c r="B83" s="2" t="inlineStr">
        <is>
          <t>SAMPLE-RV-0087</t>
        </is>
      </c>
      <c r="C83" s="2" t="inlineStr">
        <is>
          <t>1</t>
        </is>
      </c>
      <c r="D83" s="2" t="inlineStr">
        <is>
          <t>US</t>
        </is>
      </c>
      <c r="E83" s="2" t="inlineStr">
        <is>
          <t>智能眼镜 硅胶防滑鼻托 背胶款 2对装</t>
        </is>
      </c>
      <c r="F83" s="2" t="inlineStr">
        <is>
          <t>A款-防滑鼻托套装(2对装)</t>
        </is>
      </c>
      <c r="G83" s="2" t="inlineStr">
        <is>
          <t>标准款-2.5mm</t>
        </is>
      </c>
      <c r="H83" s="2" t="inlineStr">
        <is>
          <t>标准款</t>
        </is>
      </c>
      <c r="I83" s="2" t="inlineStr">
        <is>
          <t>2.5mm</t>
        </is>
      </c>
      <c r="J83" s="2" t="inlineStr">
        <is>
          <t>2026-07-23</t>
        </is>
      </c>
      <c r="K83" s="2" t="inlineStr">
        <is>
          <t>2026-07</t>
        </is>
      </c>
      <c r="L83" s="2" t="inlineStr">
        <is>
          <t>否</t>
        </is>
      </c>
      <c r="M83" s="2" t="inlineStr"/>
      <c r="N83" s="2" t="inlineStr">
        <is>
          <t>Too tall, does not fit case, and fell off in a week. Three strikes.</t>
        </is>
      </c>
      <c r="O83" s="2" t="inlineStr"/>
      <c r="P83" s="2" t="inlineStr"/>
      <c r="Q83" s="2" t="inlineStr"/>
      <c r="R83" s="2" t="inlineStr">
        <is>
          <t>整体高度:偏高; 充电盒收纳; 背胶牢固度</t>
        </is>
      </c>
      <c r="S83" s="2" t="inlineStr"/>
      <c r="T83" s="2" t="inlineStr"/>
      <c r="U83" s="2" t="inlineStr">
        <is>
          <t>充电盒收纳&gt;怎么个不行=放不进去或合不上盖; 背胶牢固度&gt;多久出的问题=一周内; 背胶牢固度&gt;什么场合=没说</t>
        </is>
      </c>
      <c r="V83" s="2" t="inlineStr">
        <is>
          <t>产品的事</t>
        </is>
      </c>
      <c r="W83" s="2" t="inlineStr">
        <is>
          <t>严重</t>
        </is>
      </c>
      <c r="X83" s="2" t="inlineStr">
        <is>
          <t>差评</t>
        </is>
      </c>
    </row>
    <row r="84">
      <c r="A84" s="2" t="inlineStr">
        <is>
          <t>83</t>
        </is>
      </c>
      <c r="B84" s="2" t="inlineStr">
        <is>
          <t>SAMPLE-RV-0088</t>
        </is>
      </c>
      <c r="C84" s="2" t="inlineStr">
        <is>
          <t>2</t>
        </is>
      </c>
      <c r="D84" s="2" t="inlineStr">
        <is>
          <t>US</t>
        </is>
      </c>
      <c r="E84" s="2" t="inlineStr">
        <is>
          <t>智能眼镜 硅胶防滑鼻托 背胶款 2对装</t>
        </is>
      </c>
      <c r="F84" s="2" t="inlineStr">
        <is>
          <t>A款-防滑鼻托套装(2对装)</t>
        </is>
      </c>
      <c r="G84" s="2" t="inlineStr">
        <is>
          <t>标准款-1.8mm</t>
        </is>
      </c>
      <c r="H84" s="2" t="inlineStr">
        <is>
          <t>标准款</t>
        </is>
      </c>
      <c r="I84" s="2" t="inlineStr">
        <is>
          <t>1.8mm</t>
        </is>
      </c>
      <c r="J84" s="2" t="inlineStr">
        <is>
          <t>2026-07-27</t>
        </is>
      </c>
      <c r="K84" s="2" t="inlineStr">
        <is>
          <t>2026-07</t>
        </is>
      </c>
      <c r="L84" s="2" t="inlineStr">
        <is>
          <t>否</t>
        </is>
      </c>
      <c r="M84" s="2" t="inlineStr"/>
      <c r="N84" s="2" t="inlineStr">
        <is>
          <t>Used to love these, this is my third order. The latest ones are stiffer and do not stick like before.</t>
        </is>
      </c>
      <c r="O84" s="2" t="inlineStr">
        <is>
          <t>复购</t>
        </is>
      </c>
      <c r="P84" s="2" t="inlineStr"/>
      <c r="Q84" s="2" t="inlineStr"/>
      <c r="R84" s="2" t="inlineStr">
        <is>
          <t>同款批次一致性; 硅胶软硬:偏硬; 背胶牢固度</t>
        </is>
      </c>
      <c r="S84" s="2" t="inlineStr"/>
      <c r="T84" s="2" t="inlineStr"/>
      <c r="U84" s="2" t="inlineStr">
        <is>
          <t>背胶牢固度&gt;多久出的问题=没说; 背胶牢固度&gt;什么场合=没说</t>
        </is>
      </c>
      <c r="V84" s="2" t="inlineStr">
        <is>
          <t>产品的事</t>
        </is>
      </c>
      <c r="W84" s="2" t="inlineStr">
        <is>
          <t>中度</t>
        </is>
      </c>
      <c r="X84" s="2" t="inlineStr">
        <is>
          <t>差评</t>
        </is>
      </c>
    </row>
    <row r="85">
      <c r="A85" s="2" t="inlineStr">
        <is>
          <t>84</t>
        </is>
      </c>
      <c r="B85" s="2" t="inlineStr">
        <is>
          <t>SAMPLE-RV-0089</t>
        </is>
      </c>
      <c r="C85" s="2" t="inlineStr">
        <is>
          <t>4</t>
        </is>
      </c>
      <c r="D85" s="2" t="inlineStr">
        <is>
          <t>US</t>
        </is>
      </c>
      <c r="E85" s="2" t="inlineStr">
        <is>
          <t>智能眼镜 硅胶防滑鼻托 背胶款 2对装</t>
        </is>
      </c>
      <c r="F85" s="2" t="inlineStr">
        <is>
          <t>A款-防滑鼻托套装(2对装)</t>
        </is>
      </c>
      <c r="G85" s="2" t="inlineStr">
        <is>
          <t>标准款-1.8mm</t>
        </is>
      </c>
      <c r="H85" s="2" t="inlineStr">
        <is>
          <t>标准款</t>
        </is>
      </c>
      <c r="I85" s="2" t="inlineStr">
        <is>
          <t>1.8mm</t>
        </is>
      </c>
      <c r="J85" s="2" t="inlineStr">
        <is>
          <t>2026-07-30</t>
        </is>
      </c>
      <c r="K85" s="2" t="inlineStr">
        <is>
          <t>2026-07</t>
        </is>
      </c>
      <c r="L85" s="2" t="inlineStr">
        <is>
          <t>否</t>
        </is>
      </c>
      <c r="M85" s="2" t="inlineStr"/>
      <c r="N85" s="2" t="inlineStr">
        <is>
          <t>Good product overall. Slightly visible from the front.</t>
        </is>
      </c>
      <c r="O85" s="2" t="inlineStr"/>
      <c r="P85" s="2" t="inlineStr"/>
      <c r="Q85" s="2" t="inlineStr">
        <is>
          <t>质量(泛指)</t>
        </is>
      </c>
      <c r="R85" s="2" t="inlineStr">
        <is>
          <t>外观隐形</t>
        </is>
      </c>
      <c r="S85" s="2" t="inlineStr"/>
      <c r="T85" s="2" t="inlineStr"/>
      <c r="U85" s="2" t="inlineStr"/>
      <c r="V85" s="2" t="inlineStr">
        <is>
          <t>产品的事</t>
        </is>
      </c>
      <c r="W85" s="2" t="inlineStr">
        <is>
          <t>轻度</t>
        </is>
      </c>
      <c r="X85" s="2" t="inlineStr">
        <is>
          <t>好评</t>
        </is>
      </c>
    </row>
    <row r="86">
      <c r="A86" s="2" t="inlineStr">
        <is>
          <t>85</t>
        </is>
      </c>
      <c r="B86" s="2" t="inlineStr">
        <is>
          <t>SAMPLE-RV-0090</t>
        </is>
      </c>
      <c r="C86" s="2" t="inlineStr">
        <is>
          <t>1</t>
        </is>
      </c>
      <c r="D86" s="2" t="inlineStr">
        <is>
          <t>US</t>
        </is>
      </c>
      <c r="E86" s="2" t="inlineStr">
        <is>
          <t>智能眼镜 硅胶防滑鼻托 背胶款 2对装</t>
        </is>
      </c>
      <c r="F86" s="2" t="inlineStr">
        <is>
          <t>A款-防滑鼻托套装(2对装)</t>
        </is>
      </c>
      <c r="G86" s="2" t="inlineStr">
        <is>
          <t>标准款-1.8mm</t>
        </is>
      </c>
      <c r="H86" s="2" t="inlineStr">
        <is>
          <t>标准款</t>
        </is>
      </c>
      <c r="I86" s="2" t="inlineStr">
        <is>
          <t>1.8mm</t>
        </is>
      </c>
      <c r="J86" s="2" t="inlineStr">
        <is>
          <t>2026-08-02</t>
        </is>
      </c>
      <c r="K86" s="2" t="inlineStr">
        <is>
          <t>2026-08</t>
        </is>
      </c>
      <c r="L86" s="2" t="inlineStr">
        <is>
          <t>否</t>
        </is>
      </c>
      <c r="M86" s="2" t="inlineStr"/>
      <c r="N86" s="2" t="inlineStr">
        <is>
          <t>Fell off day one. Waste of money.</t>
        </is>
      </c>
      <c r="O86" s="2" t="inlineStr"/>
      <c r="P86" s="2" t="inlineStr">
        <is>
          <t>第一次用就出问题</t>
        </is>
      </c>
      <c r="Q86" s="2" t="inlineStr"/>
      <c r="R86" s="2" t="inlineStr">
        <is>
          <t>背胶牢固度; 值不值</t>
        </is>
      </c>
      <c r="S86" s="2" t="inlineStr"/>
      <c r="T86" s="2" t="inlineStr"/>
      <c r="U86" s="2" t="inlineStr">
        <is>
          <t>背胶牢固度&gt;多久出的问题=第一天; 背胶牢固度&gt;什么场合=没说</t>
        </is>
      </c>
      <c r="V86" s="2" t="inlineStr">
        <is>
          <t>产品的事</t>
        </is>
      </c>
      <c r="W86" s="2" t="inlineStr">
        <is>
          <t>严重</t>
        </is>
      </c>
      <c r="X86" s="2" t="inlineStr">
        <is>
          <t>差评</t>
        </is>
      </c>
    </row>
    <row r="87">
      <c r="A87" s="2" t="inlineStr">
        <is>
          <t>86</t>
        </is>
      </c>
      <c r="B87" s="2" t="inlineStr">
        <is>
          <t>SAMPLE-RV-0091</t>
        </is>
      </c>
      <c r="C87" s="2" t="inlineStr">
        <is>
          <t>5</t>
        </is>
      </c>
      <c r="D87" s="2" t="inlineStr">
        <is>
          <t>US</t>
        </is>
      </c>
      <c r="E87" s="2" t="inlineStr">
        <is>
          <t>智能眼镜 硅胶防滑鼻托 背胶款 2对装</t>
        </is>
      </c>
      <c r="F87" s="2" t="inlineStr">
        <is>
          <t>A款-防滑鼻托套装(2对装)</t>
        </is>
      </c>
      <c r="G87" s="2" t="inlineStr">
        <is>
          <t>大号款-1.8mm</t>
        </is>
      </c>
      <c r="H87" s="2" t="inlineStr">
        <is>
          <t>大号款</t>
        </is>
      </c>
      <c r="I87" s="2" t="inlineStr">
        <is>
          <t>1.8mm</t>
        </is>
      </c>
      <c r="J87" s="2" t="inlineStr">
        <is>
          <t>2026-08-05</t>
        </is>
      </c>
      <c r="K87" s="2" t="inlineStr">
        <is>
          <t>2026-08</t>
        </is>
      </c>
      <c r="L87" s="2" t="inlineStr">
        <is>
          <t>否</t>
        </is>
      </c>
      <c r="M87" s="2" t="inlineStr"/>
      <c r="N87" s="2" t="inlineStr">
        <is>
          <t>Works great with my large frames and the case. Very comfortable.</t>
        </is>
      </c>
      <c r="O87" s="2" t="inlineStr"/>
      <c r="P87" s="2" t="inlineStr">
        <is>
          <t>放回充电盒时</t>
        </is>
      </c>
      <c r="Q87" s="2" t="inlineStr">
        <is>
          <t>机型适配; 充电盒收纳; 佩戴舒适</t>
        </is>
      </c>
      <c r="R87" s="2" t="inlineStr"/>
      <c r="S87" s="2" t="inlineStr"/>
      <c r="T87" s="2" t="inlineStr"/>
      <c r="U87" s="2" t="inlineStr"/>
      <c r="V87" s="2" t="inlineStr"/>
      <c r="W87" s="2" t="inlineStr"/>
      <c r="X87" s="2" t="inlineStr">
        <is>
          <t>好评</t>
        </is>
      </c>
    </row>
    <row r="88">
      <c r="A88" s="2" t="inlineStr">
        <is>
          <t>87</t>
        </is>
      </c>
      <c r="B88" s="2" t="inlineStr">
        <is>
          <t>SAMPLE-RV-0092</t>
        </is>
      </c>
      <c r="C88" s="2" t="inlineStr">
        <is>
          <t>2</t>
        </is>
      </c>
      <c r="D88" s="2" t="inlineStr">
        <is>
          <t>US</t>
        </is>
      </c>
      <c r="E88" s="2" t="inlineStr">
        <is>
          <t>智能眼镜 硅胶防滑鼻托 背胶款 2对装</t>
        </is>
      </c>
      <c r="F88" s="2" t="inlineStr">
        <is>
          <t>A款-防滑鼻托套装(2对装)</t>
        </is>
      </c>
      <c r="G88" s="2" t="inlineStr">
        <is>
          <t>标准款-2.5mm</t>
        </is>
      </c>
      <c r="H88" s="2" t="inlineStr">
        <is>
          <t>标准款</t>
        </is>
      </c>
      <c r="I88" s="2" t="inlineStr">
        <is>
          <t>2.5mm</t>
        </is>
      </c>
      <c r="J88" s="2" t="inlineStr">
        <is>
          <t>2026-08-08</t>
        </is>
      </c>
      <c r="K88" s="2" t="inlineStr">
        <is>
          <t>2026-08</t>
        </is>
      </c>
      <c r="L88" s="2" t="inlineStr">
        <is>
          <t>否</t>
        </is>
      </c>
      <c r="M88" s="2" t="inlineStr"/>
      <c r="N88" s="2" t="inlineStr">
        <is>
          <t>Comfortable while it lasted. Came off in the heat after five days and the 2.5 never fit the case anyway.</t>
        </is>
      </c>
      <c r="O88" s="2" t="inlineStr"/>
      <c r="P88" s="2" t="inlineStr"/>
      <c r="Q88" s="2" t="inlineStr">
        <is>
          <t>佩戴舒适</t>
        </is>
      </c>
      <c r="R88" s="2" t="inlineStr">
        <is>
          <t>背胶牢固度; 充电盒收纳</t>
        </is>
      </c>
      <c r="S88" s="2" t="inlineStr"/>
      <c r="T88" s="2" t="inlineStr"/>
      <c r="U88" s="2" t="inlineStr">
        <is>
          <t>背胶牢固度&gt;多久出的问题=一周内; 背胶牢固度&gt;什么场合=出汗; 充电盒收纳&gt;怎么个不行=放不进去或合不上盖</t>
        </is>
      </c>
      <c r="V88" s="2" t="inlineStr">
        <is>
          <t>产品的事</t>
        </is>
      </c>
      <c r="W88" s="2" t="inlineStr">
        <is>
          <t>严重</t>
        </is>
      </c>
      <c r="X88" s="2" t="inlineStr">
        <is>
          <t>差评</t>
        </is>
      </c>
    </row>
    <row r="89">
      <c r="A89" s="2" t="inlineStr">
        <is>
          <t>88</t>
        </is>
      </c>
      <c r="B89" s="2" t="inlineStr">
        <is>
          <t>SAMPLE-RV-0093</t>
        </is>
      </c>
      <c r="C89" s="2" t="inlineStr">
        <is>
          <t>3</t>
        </is>
      </c>
      <c r="D89" s="2" t="inlineStr">
        <is>
          <t>US</t>
        </is>
      </c>
      <c r="E89" s="2" t="inlineStr">
        <is>
          <t>智能眼镜 硅胶防滑鼻托 背胶款 2对装</t>
        </is>
      </c>
      <c r="F89" s="2" t="inlineStr">
        <is>
          <t>A款-防滑鼻托套装(2对装)</t>
        </is>
      </c>
      <c r="G89" s="2" t="inlineStr">
        <is>
          <t>标准款-1.8mm</t>
        </is>
      </c>
      <c r="H89" s="2" t="inlineStr">
        <is>
          <t>标准款</t>
        </is>
      </c>
      <c r="I89" s="2" t="inlineStr">
        <is>
          <t>1.8mm</t>
        </is>
      </c>
      <c r="J89" s="2" t="inlineStr">
        <is>
          <t>2026-08-11</t>
        </is>
      </c>
      <c r="K89" s="2" t="inlineStr">
        <is>
          <t>2026-08</t>
        </is>
      </c>
      <c r="L89" s="2" t="inlineStr">
        <is>
          <t>否</t>
        </is>
      </c>
      <c r="M89" s="2" t="inlineStr"/>
      <c r="N89" s="2" t="inlineStr">
        <is>
          <t>They help. The glue could be stronger and the pad could be narrower.</t>
        </is>
      </c>
      <c r="O89" s="2" t="inlineStr"/>
      <c r="P89" s="2" t="inlineStr"/>
      <c r="Q89" s="2" t="inlineStr">
        <is>
          <t>防滑效果(泛指)</t>
        </is>
      </c>
      <c r="R89" s="2" t="inlineStr">
        <is>
          <t>背胶牢固度; 宽度与覆盖:偏宽</t>
        </is>
      </c>
      <c r="S89" s="2" t="inlineStr"/>
      <c r="T89" s="2" t="inlineStr"/>
      <c r="U89" s="2" t="inlineStr">
        <is>
          <t>背胶牢固度&gt;多久出的问题=没说; 背胶牢固度&gt;什么场合=没说</t>
        </is>
      </c>
      <c r="V89" s="2" t="inlineStr">
        <is>
          <t>产品的事</t>
        </is>
      </c>
      <c r="W89" s="2" t="inlineStr">
        <is>
          <t>中度</t>
        </is>
      </c>
      <c r="X89" s="2" t="inlineStr">
        <is>
          <t>中性</t>
        </is>
      </c>
    </row>
    <row r="90">
      <c r="A90" s="2" t="inlineStr">
        <is>
          <t>89</t>
        </is>
      </c>
      <c r="B90" s="2" t="inlineStr">
        <is>
          <t>SAMPLE-RV-0094</t>
        </is>
      </c>
      <c r="C90" s="2" t="inlineStr">
        <is>
          <t>4</t>
        </is>
      </c>
      <c r="D90" s="2" t="inlineStr">
        <is>
          <t>US</t>
        </is>
      </c>
      <c r="E90" s="2" t="inlineStr">
        <is>
          <t>智能眼镜 硅胶防滑鼻托 背胶款 2对装</t>
        </is>
      </c>
      <c r="F90" s="2" t="inlineStr">
        <is>
          <t>A款-防滑鼻托套装(2对装)</t>
        </is>
      </c>
      <c r="G90" s="2" t="inlineStr">
        <is>
          <t>标准款-2.5mm</t>
        </is>
      </c>
      <c r="H90" s="2" t="inlineStr">
        <is>
          <t>标准款</t>
        </is>
      </c>
      <c r="I90" s="2" t="inlineStr">
        <is>
          <t>2.5mm</t>
        </is>
      </c>
      <c r="J90" s="2" t="inlineStr">
        <is>
          <t>2026-08-14</t>
        </is>
      </c>
      <c r="K90" s="2" t="inlineStr">
        <is>
          <t>2026-08</t>
        </is>
      </c>
      <c r="L90" s="2" t="inlineStr">
        <is>
          <t>否</t>
        </is>
      </c>
      <c r="M90" s="2" t="inlineStr"/>
      <c r="N90" s="2" t="inlineStr">
        <is>
          <t>Height is right for me. Holding so far after two weeks.</t>
        </is>
      </c>
      <c r="O90" s="2" t="inlineStr"/>
      <c r="P90" s="2" t="inlineStr"/>
      <c r="Q90" s="2" t="inlineStr">
        <is>
          <t>整体高度; 背胶牢固度</t>
        </is>
      </c>
      <c r="R90" s="2" t="inlineStr"/>
      <c r="S90" s="2" t="inlineStr"/>
      <c r="T90" s="2" t="inlineStr"/>
      <c r="U90" s="2" t="inlineStr"/>
      <c r="V90" s="2" t="inlineStr"/>
      <c r="W90" s="2" t="inlineStr"/>
      <c r="X90" s="2" t="inlineStr">
        <is>
          <t>好评</t>
        </is>
      </c>
    </row>
    <row r="91">
      <c r="A91" s="2" t="inlineStr">
        <is>
          <t>90</t>
        </is>
      </c>
      <c r="B91" s="2" t="inlineStr">
        <is>
          <t>SAMPLE-RV-0095</t>
        </is>
      </c>
      <c r="C91" s="2" t="inlineStr">
        <is>
          <t>1</t>
        </is>
      </c>
      <c r="D91" s="2" t="inlineStr">
        <is>
          <t>US</t>
        </is>
      </c>
      <c r="E91" s="2" t="inlineStr">
        <is>
          <t>智能眼镜 硅胶防滑鼻托 背胶款 2对装</t>
        </is>
      </c>
      <c r="F91" s="2" t="inlineStr">
        <is>
          <t>A款-防滑鼻托套装(2对装)</t>
        </is>
      </c>
      <c r="G91" s="2" t="inlineStr">
        <is>
          <t>大号款-2.5mm</t>
        </is>
      </c>
      <c r="H91" s="2" t="inlineStr">
        <is>
          <t>大号款</t>
        </is>
      </c>
      <c r="I91" s="2" t="inlineStr">
        <is>
          <t>2.5mm</t>
        </is>
      </c>
      <c r="J91" s="2" t="inlineStr">
        <is>
          <t>2026-08-18</t>
        </is>
      </c>
      <c r="K91" s="2" t="inlineStr">
        <is>
          <t>2026-08</t>
        </is>
      </c>
      <c r="L91" s="2" t="inlineStr">
        <is>
          <t>否</t>
        </is>
      </c>
      <c r="M91" s="2" t="inlineStr"/>
      <c r="N91" s="2" t="inlineStr">
        <is>
          <t>Peeled off within days, twice. Something changed, my set from last winter lasted months.</t>
        </is>
      </c>
      <c r="O91" s="2" t="inlineStr">
        <is>
          <t>复购</t>
        </is>
      </c>
      <c r="P91" s="2" t="inlineStr"/>
      <c r="Q91" s="2" t="inlineStr"/>
      <c r="R91" s="2" t="inlineStr">
        <is>
          <t>背胶牢固度; 同款批次一致性</t>
        </is>
      </c>
      <c r="S91" s="2" t="inlineStr"/>
      <c r="T91" s="2" t="inlineStr"/>
      <c r="U91" s="2" t="inlineStr">
        <is>
          <t>背胶牢固度&gt;多久出的问题=一周内; 背胶牢固度&gt;什么场合=没说</t>
        </is>
      </c>
      <c r="V91" s="2" t="inlineStr">
        <is>
          <t>产品的事</t>
        </is>
      </c>
      <c r="W91" s="2" t="inlineStr">
        <is>
          <t>严重</t>
        </is>
      </c>
      <c r="X91" s="2" t="inlineStr">
        <is>
          <t>差评</t>
        </is>
      </c>
    </row>
    <row r="92">
      <c r="A92" s="2" t="inlineStr">
        <is>
          <t>91</t>
        </is>
      </c>
      <c r="B92" s="2" t="inlineStr">
        <is>
          <t>SAMPLE-RV-0096</t>
        </is>
      </c>
      <c r="C92" s="2" t="inlineStr">
        <is>
          <t>5</t>
        </is>
      </c>
      <c r="D92" s="2" t="inlineStr">
        <is>
          <t>US</t>
        </is>
      </c>
      <c r="E92" s="2" t="inlineStr">
        <is>
          <t>智能眼镜 硅胶防滑鼻托 背胶款 2对装</t>
        </is>
      </c>
      <c r="F92" s="2" t="inlineStr">
        <is>
          <t>A款-防滑鼻托套装(2对装)</t>
        </is>
      </c>
      <c r="G92" s="2" t="inlineStr">
        <is>
          <t>标准款-1.8mm</t>
        </is>
      </c>
      <c r="H92" s="2" t="inlineStr">
        <is>
          <t>标准款</t>
        </is>
      </c>
      <c r="I92" s="2" t="inlineStr">
        <is>
          <t>1.8mm</t>
        </is>
      </c>
      <c r="J92" s="2" t="inlineStr">
        <is>
          <t>2026-08-22</t>
        </is>
      </c>
      <c r="K92" s="2" t="inlineStr">
        <is>
          <t>2026-08</t>
        </is>
      </c>
      <c r="L92" s="2" t="inlineStr">
        <is>
          <t>否</t>
        </is>
      </c>
      <c r="M92" s="2" t="inlineStr"/>
      <c r="N92" s="2" t="inlineStr">
        <is>
          <t>Comfortable and they keep my glasses from sliding during yoga.</t>
        </is>
      </c>
      <c r="O92" s="2" t="inlineStr"/>
      <c r="P92" s="2" t="inlineStr">
        <is>
          <t>运动出汗</t>
        </is>
      </c>
      <c r="Q92" s="2" t="inlineStr">
        <is>
          <t>佩戴舒适; 防滑效果(泛指)</t>
        </is>
      </c>
      <c r="R92" s="2" t="inlineStr"/>
      <c r="S92" s="2" t="inlineStr"/>
      <c r="T92" s="2" t="inlineStr"/>
      <c r="U92" s="2" t="inlineStr">
        <is>
          <t>防滑效果(泛指)&gt;什么场合=运动</t>
        </is>
      </c>
      <c r="V92" s="2" t="inlineStr"/>
      <c r="W92" s="2" t="inlineStr"/>
      <c r="X92" s="2" t="inlineStr">
        <is>
          <t>好评</t>
        </is>
      </c>
    </row>
    <row r="93">
      <c r="A93" s="2" t="inlineStr">
        <is>
          <t>92</t>
        </is>
      </c>
      <c r="B93" s="2" t="inlineStr">
        <is>
          <t>SAMPLE-RV-0097</t>
        </is>
      </c>
      <c r="C93" s="2" t="inlineStr">
        <is>
          <t>2</t>
        </is>
      </c>
      <c r="D93" s="2" t="inlineStr">
        <is>
          <t>US</t>
        </is>
      </c>
      <c r="E93" s="2" t="inlineStr">
        <is>
          <t>智能眼镜 硅胶防滑鼻托 背胶款 2对装</t>
        </is>
      </c>
      <c r="F93" s="2" t="inlineStr">
        <is>
          <t>A款-防滑鼻托套装(2对装)</t>
        </is>
      </c>
      <c r="G93" s="2" t="inlineStr">
        <is>
          <t>标准款-1.8mm</t>
        </is>
      </c>
      <c r="H93" s="2" t="inlineStr">
        <is>
          <t>标准款</t>
        </is>
      </c>
      <c r="I93" s="2" t="inlineStr">
        <is>
          <t>1.8mm</t>
        </is>
      </c>
      <c r="J93" s="2" t="inlineStr">
        <is>
          <t>2026-08-26</t>
        </is>
      </c>
      <c r="K93" s="2" t="inlineStr">
        <is>
          <t>2026-08</t>
        </is>
      </c>
      <c r="L93" s="2" t="inlineStr">
        <is>
          <t>否</t>
        </is>
      </c>
      <c r="M93" s="2" t="inlineStr"/>
      <c r="N93" s="2" t="inlineStr">
        <is>
          <t>Adhesive failed in a week. Disappointed.</t>
        </is>
      </c>
      <c r="O93" s="2" t="inlineStr"/>
      <c r="P93" s="2" t="inlineStr"/>
      <c r="Q93" s="2" t="inlineStr"/>
      <c r="R93" s="2" t="inlineStr">
        <is>
          <t>背胶牢固度</t>
        </is>
      </c>
      <c r="S93" s="2" t="inlineStr"/>
      <c r="T93" s="2" t="inlineStr"/>
      <c r="U93" s="2" t="inlineStr">
        <is>
          <t>背胶牢固度&gt;多久出的问题=一周内; 背胶牢固度&gt;什么场合=没说</t>
        </is>
      </c>
      <c r="V93" s="2" t="inlineStr">
        <is>
          <t>产品的事</t>
        </is>
      </c>
      <c r="W93" s="2" t="inlineStr">
        <is>
          <t>严重</t>
        </is>
      </c>
      <c r="X93" s="2" t="inlineStr">
        <is>
          <t>差评</t>
        </is>
      </c>
    </row>
  </sheetData>
  <autoFilter ref="A1:X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6" customWidth="1" min="1" max="1"/>
    <col width="11" customWidth="1" min="2" max="2"/>
    <col width="11" customWidth="1" min="3" max="3"/>
    <col width="11" customWidth="1" min="4" max="4"/>
    <col width="13" customWidth="1" min="5" max="5"/>
    <col width="34" customWidth="1" min="6" max="6"/>
  </cols>
  <sheetData>
    <row r="1">
      <c r="A1" s="4" t="inlineStr">
        <is>
          <t>横着是提到多少次，竖着是好评占比</t>
        </is>
      </c>
    </row>
    <row r="2">
      <c r="A2" s="5" t="inlineStr">
        <is>
          <t>门槛跟着数据量走：进排名 ≥5 次；横向分界 6 次（全部标签提及的中位数）；纵向分界 63.3%（加权平均好评占比）</t>
        </is>
      </c>
    </row>
    <row r="4">
      <c r="A4" s="1" t="inlineStr">
        <is>
          <t>细项</t>
        </is>
      </c>
      <c r="B4" s="1" t="inlineStr">
        <is>
          <t>提到次数</t>
        </is>
      </c>
      <c r="C4" s="1" t="inlineStr">
        <is>
          <t>好评次数</t>
        </is>
      </c>
      <c r="D4" s="1" t="inlineStr">
        <is>
          <t>差评次数</t>
        </is>
      </c>
      <c r="E4" s="1" t="inlineStr">
        <is>
          <t>好评占比</t>
        </is>
      </c>
      <c r="F4" s="1" t="inlineStr">
        <is>
          <t>落在哪一块</t>
        </is>
      </c>
    </row>
    <row r="5">
      <c r="A5" s="6" t="inlineStr">
        <is>
          <t>防滑效果(泛指)</t>
        </is>
      </c>
      <c r="B5" s="6">
        <f>C5+D5</f>
        <v/>
      </c>
      <c r="C5" s="6">
        <f>COUNTIF(打标明细!Q:Q,"*防滑效果(泛指)*")</f>
        <v/>
      </c>
      <c r="D5" s="6">
        <f>COUNTIF(打标明细!R:R,"*防滑效果(泛指)*")</f>
        <v/>
      </c>
      <c r="E5" s="7">
        <f>IFERROR(C5/B5,"")</f>
        <v/>
      </c>
      <c r="F5" s="6">
        <f>IF(B5&lt;5,"没进排名（提得太少）",IF(B5&gt;=6,IF(E5&lt;0.6332,"★ 提得多又不满意 · 该先动","提得多也满意 · 已经赢了"),IF(E5&lt;0.6332,"提得少不满意 · 盯着","提得少但满意")))</f>
        <v/>
      </c>
    </row>
    <row r="6">
      <c r="A6" s="6" t="inlineStr">
        <is>
          <t>佩戴舒适</t>
        </is>
      </c>
      <c r="B6" s="6">
        <f>C6+D6</f>
        <v/>
      </c>
      <c r="C6" s="6">
        <f>COUNTIF(打标明细!Q:Q,"*佩戴舒适*")</f>
        <v/>
      </c>
      <c r="D6" s="6">
        <f>COUNTIF(打标明细!R:R,"*佩戴舒适*")</f>
        <v/>
      </c>
      <c r="E6" s="7">
        <f>IFERROR(C6/B6,"")</f>
        <v/>
      </c>
      <c r="F6" s="6">
        <f>IF(B6&lt;5,"没进排名（提得太少）",IF(B6&gt;=6,IF(E6&lt;0.6332,"★ 提得多又不满意 · 该先动","提得多也满意 · 已经赢了"),IF(E6&lt;0.6332,"提得少不满意 · 盯着","提得少但满意")))</f>
        <v/>
      </c>
    </row>
    <row r="7">
      <c r="A7" s="6" t="inlineStr">
        <is>
          <t>背胶牢固度</t>
        </is>
      </c>
      <c r="B7" s="6">
        <f>C7+D7</f>
        <v/>
      </c>
      <c r="C7" s="6">
        <f>COUNTIF(打标明细!Q:Q,"*背胶牢固度*")</f>
        <v/>
      </c>
      <c r="D7" s="6">
        <f>COUNTIF(打标明细!R:R,"*背胶牢固度*")</f>
        <v/>
      </c>
      <c r="E7" s="7">
        <f>IFERROR(C7/B7,"")</f>
        <v/>
      </c>
      <c r="F7" s="6">
        <f>IF(B7&lt;5,"没进排名（提得太少）",IF(B7&gt;=6,IF(E7&lt;0.6332,"★ 提得多又不满意 · 该先动","提得多也满意 · 已经赢了"),IF(E7&lt;0.6332,"提得少不满意 · 盯着","提得少但满意")))</f>
        <v/>
      </c>
    </row>
    <row r="8">
      <c r="A8" s="6" t="inlineStr">
        <is>
          <t>整体高度</t>
        </is>
      </c>
      <c r="B8" s="6">
        <f>C8+D8</f>
        <v/>
      </c>
      <c r="C8" s="6">
        <f>COUNTIF(打标明细!Q:Q,"*整体高度*")</f>
        <v/>
      </c>
      <c r="D8" s="6">
        <f>COUNTIF(打标明细!R:R,"*整体高度*")</f>
        <v/>
      </c>
      <c r="E8" s="7">
        <f>IFERROR(C8/B8,"")</f>
        <v/>
      </c>
      <c r="F8" s="6">
        <f>IF(B8&lt;5,"没进排名（提得太少）",IF(B8&gt;=6,IF(E8&lt;0.6332,"★ 提得多又不满意 · 该先动","提得多也满意 · 已经赢了"),IF(E8&lt;0.6332,"提得少不满意 · 盯着","提得少但满意")))</f>
        <v/>
      </c>
    </row>
    <row r="9">
      <c r="A9" s="6" t="inlineStr">
        <is>
          <t>充电盒收纳</t>
        </is>
      </c>
      <c r="B9" s="6">
        <f>C9+D9</f>
        <v/>
      </c>
      <c r="C9" s="6">
        <f>COUNTIF(打标明细!Q:Q,"*充电盒收纳*")</f>
        <v/>
      </c>
      <c r="D9" s="6">
        <f>COUNTIF(打标明细!R:R,"*充电盒收纳*")</f>
        <v/>
      </c>
      <c r="E9" s="7">
        <f>IFERROR(C9/B9,"")</f>
        <v/>
      </c>
      <c r="F9" s="6">
        <f>IF(B9&lt;5,"没进排名（提得太少）",IF(B9&gt;=6,IF(E9&lt;0.6332,"★ 提得多又不满意 · 该先动","提得多也满意 · 已经赢了"),IF(E9&lt;0.6332,"提得少不满意 · 盯着","提得少但满意")))</f>
        <v/>
      </c>
    </row>
    <row r="10">
      <c r="A10" s="6" t="inlineStr">
        <is>
          <t>外观隐形</t>
        </is>
      </c>
      <c r="B10" s="6">
        <f>C10+D10</f>
        <v/>
      </c>
      <c r="C10" s="6">
        <f>COUNTIF(打标明细!Q:Q,"*外观隐形*")</f>
        <v/>
      </c>
      <c r="D10" s="6">
        <f>COUNTIF(打标明细!R:R,"*外观隐形*")</f>
        <v/>
      </c>
      <c r="E10" s="7">
        <f>IFERROR(C10/B10,"")</f>
        <v/>
      </c>
      <c r="F10" s="6">
        <f>IF(B10&lt;5,"没进排名（提得太少）",IF(B10&gt;=6,IF(E10&lt;0.6332,"★ 提得多又不满意 · 该先动","提得多也满意 · 已经赢了"),IF(E10&lt;0.6332,"提得少不满意 · 盯着","提得少但满意")))</f>
        <v/>
      </c>
    </row>
    <row r="11">
      <c r="A11" s="6" t="inlineStr">
        <is>
          <t>宽度与覆盖</t>
        </is>
      </c>
      <c r="B11" s="6">
        <f>C11+D11</f>
        <v/>
      </c>
      <c r="C11" s="6">
        <f>COUNTIF(打标明细!Q:Q,"*宽度与覆盖*")</f>
        <v/>
      </c>
      <c r="D11" s="6">
        <f>COUNTIF(打标明细!R:R,"*宽度与覆盖*")</f>
        <v/>
      </c>
      <c r="E11" s="7">
        <f>IFERROR(C11/B11,"")</f>
        <v/>
      </c>
      <c r="F11" s="6">
        <f>IF(B11&lt;5,"没进排名（提得太少）",IF(B11&gt;=6,IF(E11&lt;0.6332,"★ 提得多又不满意 · 该先动","提得多也满意 · 已经赢了"),IF(E11&lt;0.6332,"提得少不满意 · 盯着","提得少但满意")))</f>
        <v/>
      </c>
    </row>
    <row r="12">
      <c r="A12" s="6" t="inlineStr">
        <is>
          <t>质量(泛指)</t>
        </is>
      </c>
      <c r="B12" s="6">
        <f>C12+D12</f>
        <v/>
      </c>
      <c r="C12" s="6">
        <f>COUNTIF(打标明细!Q:Q,"*质量(泛指)*")</f>
        <v/>
      </c>
      <c r="D12" s="6">
        <f>COUNTIF(打标明细!R:R,"*质量(泛指)*")</f>
        <v/>
      </c>
      <c r="E12" s="7">
        <f>IFERROR(C12/B12,"")</f>
        <v/>
      </c>
      <c r="F12" s="6">
        <f>IF(B12&lt;5,"没进排名（提得太少）",IF(B12&gt;=6,IF(E12&lt;0.6332,"★ 提得多又不满意 · 该先动","提得多也满意 · 已经赢了"),IF(E12&lt;0.6332,"提得少不满意 · 盯着","提得少但满意")))</f>
        <v/>
      </c>
    </row>
    <row r="13">
      <c r="A13" s="6" t="inlineStr">
        <is>
          <t>值不值</t>
        </is>
      </c>
      <c r="B13" s="6">
        <f>C13+D13</f>
        <v/>
      </c>
      <c r="C13" s="6">
        <f>COUNTIF(打标明细!Q:Q,"*值不值*")</f>
        <v/>
      </c>
      <c r="D13" s="6">
        <f>COUNTIF(打标明细!R:R,"*值不值*")</f>
        <v/>
      </c>
      <c r="E13" s="7">
        <f>IFERROR(C13/B13,"")</f>
        <v/>
      </c>
      <c r="F13" s="6">
        <f>IF(B13&lt;5,"没进排名（提得太少）",IF(B13&gt;=6,IF(E13&lt;0.6332,"★ 提得多又不满意 · 该先动","提得多也满意 · 已经赢了"),IF(E13&lt;0.6332,"提得少不满意 · 盯着","提得少但满意")))</f>
        <v/>
      </c>
    </row>
    <row r="14">
      <c r="A14" s="6" t="inlineStr">
        <is>
          <t>硅胶软硬</t>
        </is>
      </c>
      <c r="B14" s="6">
        <f>C14+D14</f>
        <v/>
      </c>
      <c r="C14" s="6">
        <f>COUNTIF(打标明细!Q:Q,"*硅胶软硬*")</f>
        <v/>
      </c>
      <c r="D14" s="6">
        <f>COUNTIF(打标明细!R:R,"*硅胶软硬*")</f>
        <v/>
      </c>
      <c r="E14" s="7">
        <f>IFERROR(C14/B14,"")</f>
        <v/>
      </c>
      <c r="F14" s="6">
        <f>IF(B14&lt;5,"没进排名（提得太少）",IF(B14&gt;=6,IF(E14&lt;0.6332,"★ 提得多又不满意 · 该先动","提得多也满意 · 已经赢了"),IF(E14&lt;0.6332,"提得少不满意 · 盯着","提得少但满意")))</f>
        <v/>
      </c>
    </row>
    <row r="15">
      <c r="A15" s="6" t="inlineStr">
        <is>
          <t>安装难易</t>
        </is>
      </c>
      <c r="B15" s="6">
        <f>C15+D15</f>
        <v/>
      </c>
      <c r="C15" s="6">
        <f>COUNTIF(打标明细!Q:Q,"*安装难易*")</f>
        <v/>
      </c>
      <c r="D15" s="6">
        <f>COUNTIF(打标明细!R:R,"*安装难易*")</f>
        <v/>
      </c>
      <c r="E15" s="7">
        <f>IFERROR(C15/B15,"")</f>
        <v/>
      </c>
      <c r="F15" s="6">
        <f>IF(B15&lt;5,"没进排名（提得太少）",IF(B15&gt;=6,IF(E15&lt;0.6332,"★ 提得多又不满意 · 该先动","提得多也满意 · 已经赢了"),IF(E15&lt;0.6332,"提得少不满意 · 盯着","提得少但满意")))</f>
        <v/>
      </c>
    </row>
    <row r="16">
      <c r="A16" s="6" t="inlineStr">
        <is>
          <t>机型适配</t>
        </is>
      </c>
      <c r="B16" s="6">
        <f>C16+D16</f>
        <v/>
      </c>
      <c r="C16" s="6">
        <f>COUNTIF(打标明细!Q:Q,"*机型适配*")</f>
        <v/>
      </c>
      <c r="D16" s="6">
        <f>COUNTIF(打标明细!R:R,"*机型适配*")</f>
        <v/>
      </c>
      <c r="E16" s="7">
        <f>IFERROR(C16/B16,"")</f>
        <v/>
      </c>
      <c r="F16" s="6">
        <f>IF(B16&lt;5,"没进排名（提得太少）",IF(B16&gt;=6,IF(E16&lt;0.6332,"★ 提得多又不满意 · 该先动","提得多也满意 · 已经赢了"),IF(E16&lt;0.6332,"提得少不满意 · 盯着","提得少但满意")))</f>
        <v/>
      </c>
    </row>
    <row r="17">
      <c r="A17" s="6" t="inlineStr">
        <is>
          <t>出汗时防滑</t>
        </is>
      </c>
      <c r="B17" s="6">
        <f>C17+D17</f>
        <v/>
      </c>
      <c r="C17" s="6">
        <f>COUNTIF(打标明细!Q:Q,"*出汗时防滑*")</f>
        <v/>
      </c>
      <c r="D17" s="6">
        <f>COUNTIF(打标明细!R:R,"*出汗时防滑*")</f>
        <v/>
      </c>
      <c r="E17" s="7">
        <f>IFERROR(C17/B17,"")</f>
        <v/>
      </c>
      <c r="F17" s="6">
        <f>IF(B17&lt;5,"没进排名（提得太少）",IF(B17&gt;=6,IF(E17&lt;0.6332,"★ 提得多又不满意 · 该先动","提得多也满意 · 已经赢了"),IF(E17&lt;0.6332,"提得少不满意 · 盯着","提得少但满意")))</f>
        <v/>
      </c>
    </row>
    <row r="18">
      <c r="A18" s="6" t="inlineStr">
        <is>
          <t>同款批次一致性</t>
        </is>
      </c>
      <c r="B18" s="6">
        <f>C18+D18</f>
        <v/>
      </c>
      <c r="C18" s="6">
        <f>COUNTIF(打标明细!Q:Q,"*同款批次一致性*")</f>
        <v/>
      </c>
      <c r="D18" s="6">
        <f>COUNTIF(打标明细!R:R,"*同款批次一致性*")</f>
        <v/>
      </c>
      <c r="E18" s="7">
        <f>IFERROR(C18/B18,"")</f>
        <v/>
      </c>
      <c r="F18" s="6">
        <f>IF(B18&lt;5,"没进排名（提得太少）",IF(B18&gt;=6,IF(E18&lt;0.6332,"★ 提得多又不满意 · 该先动","提得多也满意 · 已经赢了"),IF(E18&lt;0.6332,"提得少不满意 · 盯着","提得少但满意")))</f>
        <v/>
      </c>
    </row>
    <row r="19">
      <c r="A19" s="6" t="inlineStr">
        <is>
          <t>撕下后留胶</t>
        </is>
      </c>
      <c r="B19" s="6">
        <f>C19+D19</f>
        <v/>
      </c>
      <c r="C19" s="6">
        <f>COUNTIF(打标明细!Q:Q,"*撕下后留胶*")</f>
        <v/>
      </c>
      <c r="D19" s="6">
        <f>COUNTIF(打标明细!R:R,"*撕下后留胶*")</f>
        <v/>
      </c>
      <c r="E19" s="7">
        <f>IFERROR(C19/B19,"")</f>
        <v/>
      </c>
      <c r="F19" s="6">
        <f>IF(B19&lt;5,"没进排名（提得太少）",IF(B19&gt;=6,IF(E19&lt;0.6332,"★ 提得多又不满意 · 该先动","提得多也满意 · 已经赢了"),IF(E19&lt;0.6332,"提得少不满意 · 盯着","提得少但满意")))</f>
        <v/>
      </c>
    </row>
    <row r="20">
      <c r="A20" s="6" t="inlineStr">
        <is>
          <t>装上后充电</t>
        </is>
      </c>
      <c r="B20" s="6">
        <f>C20+D20</f>
        <v/>
      </c>
      <c r="C20" s="6">
        <f>COUNTIF(打标明细!Q:Q,"*装上后充电*")</f>
        <v/>
      </c>
      <c r="D20" s="6">
        <f>COUNTIF(打标明细!R:R,"*装上后充电*")</f>
        <v/>
      </c>
      <c r="E20" s="7">
        <f>IFERROR(C20/B20,"")</f>
        <v/>
      </c>
      <c r="F20" s="6">
        <f>IF(B20&lt;5,"没进排名（提得太少）",IF(B20&gt;=6,IF(E20&lt;0.6332,"★ 提得多又不满意 · 该先动","提得多也满意 · 已经赢了"),IF(E20&lt;0.6332,"提得少不满意 · 盯着","提得少但满意")))</f>
        <v/>
      </c>
    </row>
    <row r="21">
      <c r="A21" s="6" t="inlineStr">
        <is>
          <t>防滑宣称兑现度</t>
        </is>
      </c>
      <c r="B21" s="6">
        <f>C21+D21</f>
        <v/>
      </c>
      <c r="C21" s="6">
        <f>COUNTIF(打标明细!Q:Q,"*防滑宣称兑现度*")</f>
        <v/>
      </c>
      <c r="D21" s="6">
        <f>COUNTIF(打标明细!R:R,"*防滑宣称兑现度*")</f>
        <v/>
      </c>
      <c r="E21" s="7">
        <f>IFERROR(C21/B21,"")</f>
        <v/>
      </c>
      <c r="F21" s="6">
        <f>IF(B21&lt;5,"没进排名（提得太少）",IF(B21&gt;=6,IF(E21&lt;0.6332,"★ 提得多又不满意 · 该先动","提得多也满意 · 已经赢了"),IF(E21&lt;0.6332,"提得少不满意 · 盯着","提得少但满意")))</f>
        <v/>
      </c>
    </row>
    <row r="22">
      <c r="A22" s="6" t="inlineStr">
        <is>
          <t>摄像头视角</t>
        </is>
      </c>
      <c r="B22" s="6">
        <f>C22+D22</f>
        <v/>
      </c>
      <c r="C22" s="6">
        <f>COUNTIF(打标明细!Q:Q,"*摄像头视角*")</f>
        <v/>
      </c>
      <c r="D22" s="6">
        <f>COUNTIF(打标明细!R:R,"*摄像头视角*")</f>
        <v/>
      </c>
      <c r="E22" s="7">
        <f>IFERROR(C22/B22,"")</f>
        <v/>
      </c>
      <c r="F22" s="6">
        <f>IF(B22&lt;5,"没进排名（提得太少）",IF(B22&gt;=6,IF(E22&lt;0.6332,"★ 提得多又不满意 · 该先动","提得多也满意 · 已经赢了"),IF(E22&lt;0.6332,"提得少不满意 · 盯着","提得少但满意")))</f>
        <v/>
      </c>
    </row>
    <row r="23">
      <c r="A23" s="6" t="inlineStr">
        <is>
          <t>耐黄变</t>
        </is>
      </c>
      <c r="B23" s="6">
        <f>C23+D23</f>
        <v/>
      </c>
      <c r="C23" s="6">
        <f>COUNTIF(打标明细!Q:Q,"*耐黄变*")</f>
        <v/>
      </c>
      <c r="D23" s="6">
        <f>COUNTIF(打标明细!R:R,"*耐黄变*")</f>
        <v/>
      </c>
      <c r="E23" s="7">
        <f>IFERROR(C23/B23,"")</f>
        <v/>
      </c>
      <c r="F23" s="6">
        <f>IF(B23&lt;5,"没进排名（提得太少）",IF(B23&gt;=6,IF(E23&lt;0.6332,"★ 提得多又不满意 · 该先动","提得多也满意 · 已经赢了"),IF(E23&lt;0.6332,"提得少不满意 · 盯着","提得少但满意")))</f>
        <v/>
      </c>
    </row>
    <row r="24">
      <c r="A24" s="6" t="inlineStr">
        <is>
          <t>选档指引</t>
        </is>
      </c>
      <c r="B24" s="6">
        <f>C24+D24</f>
        <v/>
      </c>
      <c r="C24" s="6">
        <f>COUNTIF(打标明细!Q:Q,"*选档指引*")</f>
        <v/>
      </c>
      <c r="D24" s="6">
        <f>COUNTIF(打标明细!R:R,"*选档指引*")</f>
        <v/>
      </c>
      <c r="E24" s="7">
        <f>IFERROR(C24/B24,"")</f>
        <v/>
      </c>
      <c r="F24" s="6">
        <f>IF(B24&lt;5,"没进排名（提得太少）",IF(B24&gt;=6,IF(E24&lt;0.6332,"★ 提得多又不满意 · 该先动","提得多也满意 · 已经赢了"),IF(E24&lt;0.6332,"提得少不满意 · 盯着","提得少但满意")))</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8" customWidth="1" min="1" max="1"/>
    <col width="11" customWidth="1" min="2" max="2"/>
    <col width="13" customWidth="1" min="3" max="3"/>
    <col width="11" customWidth="1" min="4" max="4"/>
    <col width="30" customWidth="1" min="5" max="5"/>
  </cols>
  <sheetData>
    <row r="1">
      <c r="A1" s="4" t="inlineStr">
        <is>
          <t>差评最多的事（直接对应行动）</t>
        </is>
      </c>
    </row>
    <row r="3">
      <c r="A3" s="1" t="inlineStr">
        <is>
          <t>细项</t>
        </is>
      </c>
      <c r="B3" s="1" t="inlineStr">
        <is>
          <t>差评次数</t>
        </is>
      </c>
      <c r="C3" s="1" t="inlineStr">
        <is>
          <t>占全部评论</t>
        </is>
      </c>
      <c r="D3" s="1" t="inlineStr">
        <is>
          <t>其中严重</t>
        </is>
      </c>
      <c r="E3" s="1" t="inlineStr">
        <is>
          <t>哪个部门</t>
        </is>
      </c>
    </row>
    <row r="4">
      <c r="A4" s="6" t="inlineStr">
        <is>
          <t>背胶牢固度</t>
        </is>
      </c>
      <c r="B4" s="6">
        <f>COUNTIF(打标明细!R:R,"*背胶牢固度*")</f>
        <v/>
      </c>
      <c r="C4" s="7">
        <f>IFERROR(B4/(COUNTA(打标明细!A:A)-1),"")</f>
        <v/>
      </c>
      <c r="D4" s="6">
        <f>COUNTIFS(打标明细!R:R,"*背胶牢固度*",打标明细!W:W,"严重")</f>
        <v/>
      </c>
      <c r="E4" s="6" t="inlineStr">
        <is>
          <t>产品 · 材料</t>
        </is>
      </c>
    </row>
    <row r="5">
      <c r="A5" s="6" t="inlineStr">
        <is>
          <t>宽度与覆盖</t>
        </is>
      </c>
      <c r="B5" s="6">
        <f>COUNTIF(打标明细!R:R,"*宽度与覆盖*")</f>
        <v/>
      </c>
      <c r="C5" s="7">
        <f>IFERROR(B5/(COUNTA(打标明细!A:A)-1),"")</f>
        <v/>
      </c>
      <c r="D5" s="6">
        <f>COUNTIFS(打标明细!R:R,"*宽度与覆盖*",打标明细!W:W,"严重")</f>
        <v/>
      </c>
      <c r="E5" s="6" t="inlineStr">
        <is>
          <t>产品 · 结构</t>
        </is>
      </c>
    </row>
    <row r="6">
      <c r="A6" s="6" t="inlineStr">
        <is>
          <t>充电盒收纳</t>
        </is>
      </c>
      <c r="B6" s="6">
        <f>COUNTIF(打标明细!R:R,"*充电盒收纳*")</f>
        <v/>
      </c>
      <c r="C6" s="7">
        <f>IFERROR(B6/(COUNTA(打标明细!A:A)-1),"")</f>
        <v/>
      </c>
      <c r="D6" s="6">
        <f>COUNTIFS(打标明细!R:R,"*充电盒收纳*",打标明细!W:W,"严重")</f>
        <v/>
      </c>
      <c r="E6" s="6" t="inlineStr">
        <is>
          <t>运营 · 页面 / 产品 · 结构</t>
        </is>
      </c>
    </row>
    <row r="7">
      <c r="A7" s="6" t="inlineStr">
        <is>
          <t>外观隐形</t>
        </is>
      </c>
      <c r="B7" s="6">
        <f>COUNTIF(打标明细!R:R,"*外观隐形*")</f>
        <v/>
      </c>
      <c r="C7" s="7">
        <f>IFERROR(B7/(COUNTA(打标明细!A:A)-1),"")</f>
        <v/>
      </c>
      <c r="D7" s="6">
        <f>COUNTIFS(打标明细!R:R,"*外观隐形*",打标明细!W:W,"严重")</f>
        <v/>
      </c>
      <c r="E7" s="6" t="inlineStr">
        <is>
          <t>产品 · 结构</t>
        </is>
      </c>
    </row>
    <row r="8">
      <c r="A8" s="6" t="inlineStr">
        <is>
          <t>值不值</t>
        </is>
      </c>
      <c r="B8" s="6">
        <f>COUNTIF(打标明细!R:R,"*值不值*")</f>
        <v/>
      </c>
      <c r="C8" s="7">
        <f>IFERROR(B8/(COUNTA(打标明细!A:A)-1),"")</f>
        <v/>
      </c>
      <c r="D8" s="6">
        <f>COUNTIFS(打标明细!R:R,"*值不值*",打标明细!W:W,"严重")</f>
        <v/>
      </c>
      <c r="E8" s="6" t="inlineStr">
        <is>
          <t>定价</t>
        </is>
      </c>
    </row>
    <row r="9">
      <c r="A9" s="6" t="inlineStr">
        <is>
          <t>整体高度</t>
        </is>
      </c>
      <c r="B9" s="6">
        <f>COUNTIF(打标明细!R:R,"*整体高度*")</f>
        <v/>
      </c>
      <c r="C9" s="7">
        <f>IFERROR(B9/(COUNTA(打标明细!A:A)-1),"")</f>
        <v/>
      </c>
      <c r="D9" s="6">
        <f>COUNTIFS(打标明细!R:R,"*整体高度*",打标明细!W:W,"严重")</f>
        <v/>
      </c>
      <c r="E9" s="6" t="inlineStr">
        <is>
          <t>运营 · 页面（选档说明）</t>
        </is>
      </c>
    </row>
    <row r="10">
      <c r="A10" s="6" t="inlineStr">
        <is>
          <t>同款批次一致性</t>
        </is>
      </c>
      <c r="B10" s="6">
        <f>COUNTIF(打标明细!R:R,"*同款批次一致性*")</f>
        <v/>
      </c>
      <c r="C10" s="7">
        <f>IFERROR(B10/(COUNTA(打标明细!A:A)-1),"")</f>
        <v/>
      </c>
      <c r="D10" s="6">
        <f>COUNTIFS(打标明细!R:R,"*同款批次一致性*",打标明细!W:W,"严重")</f>
        <v/>
      </c>
      <c r="E10" s="6" t="inlineStr">
        <is>
          <t>产品 · 研发/品控</t>
        </is>
      </c>
    </row>
    <row r="11">
      <c r="A11" s="6" t="inlineStr">
        <is>
          <t>摄像头视角</t>
        </is>
      </c>
      <c r="B11" s="6">
        <f>COUNTIF(打标明细!R:R,"*摄像头视角*")</f>
        <v/>
      </c>
      <c r="C11" s="7">
        <f>IFERROR(B11/(COUNTA(打标明细!A:A)-1),"")</f>
        <v/>
      </c>
      <c r="D11" s="6">
        <f>COUNTIFS(打标明细!R:R,"*摄像头视角*",打标明细!W:W,"严重")</f>
        <v/>
      </c>
      <c r="E11" s="6" t="inlineStr">
        <is>
          <t>产品 · 研发/品控</t>
        </is>
      </c>
    </row>
    <row r="12">
      <c r="A12" s="6" t="inlineStr">
        <is>
          <t>硅胶软硬</t>
        </is>
      </c>
      <c r="B12" s="6">
        <f>COUNTIF(打标明细!R:R,"*硅胶软硬*")</f>
        <v/>
      </c>
      <c r="C12" s="7">
        <f>IFERROR(B12/(COUNTA(打标明细!A:A)-1),"")</f>
        <v/>
      </c>
      <c r="D12" s="6">
        <f>COUNTIFS(打标明细!R:R,"*硅胶软硬*",打标明细!W:W,"严重")</f>
        <v/>
      </c>
      <c r="E12" s="6" t="inlineStr">
        <is>
          <t>产品 · 研发/品控</t>
        </is>
      </c>
    </row>
    <row r="13">
      <c r="A13" s="6" t="inlineStr">
        <is>
          <t>耐黄变</t>
        </is>
      </c>
      <c r="B13" s="6">
        <f>COUNTIF(打标明细!R:R,"*耐黄变*")</f>
        <v/>
      </c>
      <c r="C13" s="7">
        <f>IFERROR(B13/(COUNTA(打标明细!A:A)-1),"")</f>
        <v/>
      </c>
      <c r="D13" s="6">
        <f>COUNTIFS(打标明细!R:R,"*耐黄变*",打标明细!W:W,"严重")</f>
        <v/>
      </c>
      <c r="E13" s="6" t="inlineStr">
        <is>
          <t>产品 · 材料</t>
        </is>
      </c>
    </row>
    <row r="14">
      <c r="A14" s="6" t="inlineStr">
        <is>
          <t>防滑宣称兑现度</t>
        </is>
      </c>
      <c r="B14" s="6">
        <f>COUNTIF(打标明细!R:R,"*防滑宣称兑现度*")</f>
        <v/>
      </c>
      <c r="C14" s="7">
        <f>IFERROR(B14/(COUNTA(打标明细!A:A)-1),"")</f>
        <v/>
      </c>
      <c r="D14" s="6">
        <f>COUNTIFS(打标明细!R:R,"*防滑宣称兑现度*",打标明细!W:W,"严重")</f>
        <v/>
      </c>
      <c r="E14" s="6" t="inlineStr">
        <is>
          <t>运营 · 页面</t>
        </is>
      </c>
    </row>
    <row r="15">
      <c r="A15" s="6" t="inlineStr">
        <is>
          <t>撕下后留胶</t>
        </is>
      </c>
      <c r="B15" s="6">
        <f>COUNTIF(打标明细!R:R,"*撕下后留胶*")</f>
        <v/>
      </c>
      <c r="C15" s="7">
        <f>IFERROR(B15/(COUNTA(打标明细!A:A)-1),"")</f>
        <v/>
      </c>
      <c r="D15" s="6">
        <f>COUNTIFS(打标明细!R:R,"*撕下后留胶*",打标明细!W:W,"严重")</f>
        <v/>
      </c>
      <c r="E15" s="6" t="inlineStr">
        <is>
          <t>产品 · 材料</t>
        </is>
      </c>
    </row>
    <row r="16">
      <c r="A16" s="6" t="inlineStr">
        <is>
          <t>装上后充电</t>
        </is>
      </c>
      <c r="B16" s="6">
        <f>COUNTIF(打标明细!R:R,"*装上后充电*")</f>
        <v/>
      </c>
      <c r="C16" s="7">
        <f>IFERROR(B16/(COUNTA(打标明细!A:A)-1),"")</f>
        <v/>
      </c>
      <c r="D16" s="6">
        <f>COUNTIFS(打标明细!R:R,"*装上后充电*",打标明细!W:W,"严重")</f>
        <v/>
      </c>
      <c r="E16" s="6" t="inlineStr">
        <is>
          <t>产品 · 结构</t>
        </is>
      </c>
    </row>
    <row r="17">
      <c r="A17" s="6" t="inlineStr">
        <is>
          <t>选档指引</t>
        </is>
      </c>
      <c r="B17" s="6">
        <f>COUNTIF(打标明细!R:R,"*选档指引*")</f>
        <v/>
      </c>
      <c r="C17" s="7">
        <f>IFERROR(B17/(COUNTA(打标明细!A:A)-1),"")</f>
        <v/>
      </c>
      <c r="D17" s="6">
        <f>COUNTIFS(打标明细!R:R,"*选档指引*",打标明细!W:W,"严重")</f>
        <v/>
      </c>
      <c r="E17" s="6" t="inlineStr">
        <is>
          <t>运营 · 页面</t>
        </is>
      </c>
    </row>
    <row r="18">
      <c r="A18" s="6" t="inlineStr">
        <is>
          <t>防滑效果(泛指)</t>
        </is>
      </c>
      <c r="B18" s="6">
        <f>COUNTIF(打标明细!R:R,"*防滑效果(泛指)*")</f>
        <v/>
      </c>
      <c r="C18" s="7">
        <f>IFERROR(B18/(COUNTA(打标明细!A:A)-1),"")</f>
        <v/>
      </c>
      <c r="D18" s="6">
        <f>COUNTIFS(打标明细!R:R,"*防滑效果(泛指)*",打标明细!W:W,"严重")</f>
        <v/>
      </c>
      <c r="E18" s="6" t="inlineStr">
        <is>
          <t>不算产品问题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8" customWidth="1" min="1" max="1"/>
    <col width="11" customWidth="1" min="2" max="2"/>
    <col width="9" customWidth="1" min="3" max="3"/>
    <col width="9" customWidth="1" min="4" max="4"/>
    <col width="13" customWidth="1" min="5" max="5"/>
  </cols>
  <sheetData>
    <row r="1">
      <c r="A1" s="4" t="inlineStr">
        <is>
          <t>分组看好评占比（好评占比 = 这一组里整体是好评的条数 ÷ 这一组的条数）｜分组小的只看方向</t>
        </is>
      </c>
    </row>
    <row r="3">
      <c r="A3" s="8" t="inlineStr">
        <is>
          <t>按适配机型</t>
        </is>
      </c>
    </row>
    <row r="4">
      <c r="A4" s="1" t="inlineStr">
        <is>
          <t>分组</t>
        </is>
      </c>
      <c r="B4" s="1" t="inlineStr">
        <is>
          <t>条数</t>
        </is>
      </c>
      <c r="C4" s="1" t="inlineStr">
        <is>
          <t>好评</t>
        </is>
      </c>
      <c r="D4" s="1" t="inlineStr">
        <is>
          <t>差评</t>
        </is>
      </c>
      <c r="E4" s="1" t="inlineStr">
        <is>
          <t>好评占比</t>
        </is>
      </c>
    </row>
    <row r="5">
      <c r="A5" s="6" t="inlineStr">
        <is>
          <t>标准款</t>
        </is>
      </c>
      <c r="B5" s="6">
        <f>COUNTIF(打标明细!H:H,A5)</f>
        <v/>
      </c>
      <c r="C5" s="6">
        <f>COUNTIFS(打标明细!H:H,A5,打标明细!X:X,"好评")</f>
        <v/>
      </c>
      <c r="D5" s="6">
        <f>COUNTIFS(打标明细!H:H,A5,打标明细!X:X,"差评")</f>
        <v/>
      </c>
      <c r="E5" s="7">
        <f>IFERROR(C5/B5,"")</f>
        <v/>
      </c>
    </row>
    <row r="6">
      <c r="A6" s="6" t="inlineStr">
        <is>
          <t>大号款</t>
        </is>
      </c>
      <c r="B6" s="6">
        <f>COUNTIF(打标明细!H:H,A6)</f>
        <v/>
      </c>
      <c r="C6" s="6">
        <f>COUNTIFS(打标明细!H:H,A6,打标明细!X:X,"好评")</f>
        <v/>
      </c>
      <c r="D6" s="6">
        <f>COUNTIFS(打标明细!H:H,A6,打标明细!X:X,"差评")</f>
        <v/>
      </c>
      <c r="E6" s="7">
        <f>IFERROR(C6/B6,"")</f>
        <v/>
      </c>
    </row>
    <row r="8">
      <c r="A8" s="8" t="inlineStr">
        <is>
          <t>按高度档</t>
        </is>
      </c>
    </row>
    <row r="9">
      <c r="A9" s="1" t="inlineStr">
        <is>
          <t>分组</t>
        </is>
      </c>
      <c r="B9" s="1" t="inlineStr">
        <is>
          <t>条数</t>
        </is>
      </c>
      <c r="C9" s="1" t="inlineStr">
        <is>
          <t>好评</t>
        </is>
      </c>
      <c r="D9" s="1" t="inlineStr">
        <is>
          <t>差评</t>
        </is>
      </c>
      <c r="E9" s="1" t="inlineStr">
        <is>
          <t>好评占比</t>
        </is>
      </c>
    </row>
    <row r="10">
      <c r="A10" s="6" t="inlineStr">
        <is>
          <t>1.8mm</t>
        </is>
      </c>
      <c r="B10" s="6">
        <f>COUNTIF(打标明细!I:I,A10)</f>
        <v/>
      </c>
      <c r="C10" s="6">
        <f>COUNTIFS(打标明细!I:I,A10,打标明细!X:X,"好评")</f>
        <v/>
      </c>
      <c r="D10" s="6">
        <f>COUNTIFS(打标明细!I:I,A10,打标明细!X:X,"差评")</f>
        <v/>
      </c>
      <c r="E10" s="7">
        <f>IFERROR(C10/B10,"")</f>
        <v/>
      </c>
    </row>
    <row r="11">
      <c r="A11" s="6" t="inlineStr">
        <is>
          <t>2.5mm</t>
        </is>
      </c>
      <c r="B11" s="6">
        <f>COUNTIF(打标明细!I:I,A11)</f>
        <v/>
      </c>
      <c r="C11" s="6">
        <f>COUNTIFS(打标明细!I:I,A11,打标明细!X:X,"好评")</f>
        <v/>
      </c>
      <c r="D11" s="6">
        <f>COUNTIFS(打标明细!I:I,A11,打标明细!X:X,"差评")</f>
        <v/>
      </c>
      <c r="E11" s="7">
        <f>IFERROR(C11/B11,"")</f>
        <v/>
      </c>
    </row>
    <row r="13">
      <c r="A13" s="8" t="inlineStr">
        <is>
          <t>按规格</t>
        </is>
      </c>
    </row>
    <row r="14">
      <c r="A14" s="1" t="inlineStr">
        <is>
          <t>分组</t>
        </is>
      </c>
      <c r="B14" s="1" t="inlineStr">
        <is>
          <t>条数</t>
        </is>
      </c>
      <c r="C14" s="1" t="inlineStr">
        <is>
          <t>好评</t>
        </is>
      </c>
      <c r="D14" s="1" t="inlineStr">
        <is>
          <t>差评</t>
        </is>
      </c>
      <c r="E14" s="1" t="inlineStr">
        <is>
          <t>好评占比</t>
        </is>
      </c>
    </row>
    <row r="15">
      <c r="A15" s="6" t="inlineStr">
        <is>
          <t>标准款-1.8mm</t>
        </is>
      </c>
      <c r="B15" s="6">
        <f>COUNTIF(打标明细!G:G,A15)</f>
        <v/>
      </c>
      <c r="C15" s="6">
        <f>COUNTIFS(打标明细!G:G,A15,打标明细!X:X,"好评")</f>
        <v/>
      </c>
      <c r="D15" s="6">
        <f>COUNTIFS(打标明细!G:G,A15,打标明细!X:X,"差评")</f>
        <v/>
      </c>
      <c r="E15" s="7">
        <f>IFERROR(C15/B15,"")</f>
        <v/>
      </c>
    </row>
    <row r="16">
      <c r="A16" s="6" t="inlineStr">
        <is>
          <t>标准款-2.5mm</t>
        </is>
      </c>
      <c r="B16" s="6">
        <f>COUNTIF(打标明细!G:G,A16)</f>
        <v/>
      </c>
      <c r="C16" s="6">
        <f>COUNTIFS(打标明细!G:G,A16,打标明细!X:X,"好评")</f>
        <v/>
      </c>
      <c r="D16" s="6">
        <f>COUNTIFS(打标明细!G:G,A16,打标明细!X:X,"差评")</f>
        <v/>
      </c>
      <c r="E16" s="7">
        <f>IFERROR(C16/B16,"")</f>
        <v/>
      </c>
    </row>
    <row r="17">
      <c r="A17" s="6" t="inlineStr">
        <is>
          <t>大号款-1.8mm</t>
        </is>
      </c>
      <c r="B17" s="6">
        <f>COUNTIF(打标明细!G:G,A17)</f>
        <v/>
      </c>
      <c r="C17" s="6">
        <f>COUNTIFS(打标明细!G:G,A17,打标明细!X:X,"好评")</f>
        <v/>
      </c>
      <c r="D17" s="6">
        <f>COUNTIFS(打标明细!G:G,A17,打标明细!X:X,"差评")</f>
        <v/>
      </c>
      <c r="E17" s="7">
        <f>IFERROR(C17/B17,"")</f>
        <v/>
      </c>
    </row>
    <row r="18">
      <c r="A18" s="6" t="inlineStr">
        <is>
          <t>大号款-2.5mm</t>
        </is>
      </c>
      <c r="B18" s="6">
        <f>COUNTIF(打标明细!G:G,A18)</f>
        <v/>
      </c>
      <c r="C18" s="6">
        <f>COUNTIFS(打标明细!G:G,A18,打标明细!X:X,"好评")</f>
        <v/>
      </c>
      <c r="D18" s="6">
        <f>COUNTIFS(打标明细!G:G,A18,打标明细!X:X,"差评")</f>
        <v/>
      </c>
      <c r="E18" s="7">
        <f>IFERROR(C18/B18,"")</f>
        <v/>
      </c>
    </row>
    <row r="20">
      <c r="A20" s="8" t="inlineStr">
        <is>
          <t>按疑似不可信</t>
        </is>
      </c>
    </row>
    <row r="21">
      <c r="A21" s="1" t="inlineStr">
        <is>
          <t>分组</t>
        </is>
      </c>
      <c r="B21" s="1" t="inlineStr">
        <is>
          <t>条数</t>
        </is>
      </c>
      <c r="C21" s="1" t="inlineStr">
        <is>
          <t>好评</t>
        </is>
      </c>
      <c r="D21" s="1" t="inlineStr">
        <is>
          <t>差评</t>
        </is>
      </c>
      <c r="E21" s="1" t="inlineStr">
        <is>
          <t>好评占比</t>
        </is>
      </c>
    </row>
    <row r="22">
      <c r="A22" s="6" t="inlineStr">
        <is>
          <t>否</t>
        </is>
      </c>
      <c r="B22" s="6">
        <f>COUNTIF(打标明细!L:L,A22)</f>
        <v/>
      </c>
      <c r="C22" s="6">
        <f>COUNTIFS(打标明细!L:L,A22,打标明细!X:X,"好评")</f>
        <v/>
      </c>
      <c r="D22" s="6">
        <f>COUNTIFS(打标明细!L:L,A22,打标明细!X:X,"差评")</f>
        <v/>
      </c>
      <c r="E22" s="7">
        <f>IFERROR(C22/B22,"")</f>
        <v/>
      </c>
    </row>
    <row r="23">
      <c r="A23" s="6" t="inlineStr">
        <is>
          <t>是</t>
        </is>
      </c>
      <c r="B23" s="6">
        <f>COUNTIF(打标明细!L:L,A23)</f>
        <v/>
      </c>
      <c r="C23" s="6">
        <f>COUNTIFS(打标明细!L:L,A23,打标明细!X:X,"好评")</f>
        <v/>
      </c>
      <c r="D23" s="6">
        <f>COUNTIFS(打标明细!L:L,A23,打标明细!X:X,"差评")</f>
        <v/>
      </c>
      <c r="E23" s="7">
        <f>IFERROR(C23/B23,"")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1" customWidth="1" min="1" max="1"/>
    <col width="9" customWidth="1" min="2" max="2"/>
    <col width="14" customWidth="1" min="3" max="3"/>
    <col width="9" customWidth="1" min="4" max="4"/>
    <col width="9" customWidth="1" min="5" max="5"/>
    <col width="12" customWidth="1" min="6" max="6"/>
    <col width="10" customWidth="1" min="7" max="7"/>
  </cols>
  <sheetData>
    <row r="1">
      <c r="A1" s="4" t="inlineStr">
        <is>
          <t>按月走势（共 92 条，条数少的月份只看方向）</t>
        </is>
      </c>
    </row>
    <row r="3">
      <c r="A3" s="1" t="inlineStr">
        <is>
          <t>月份</t>
        </is>
      </c>
      <c r="B3" s="1" t="inlineStr">
        <is>
          <t>条数</t>
        </is>
      </c>
      <c r="C3" s="1" t="inlineStr">
        <is>
          <t>其中疑似刷的</t>
        </is>
      </c>
      <c r="D3" s="1" t="inlineStr">
        <is>
          <t>好评</t>
        </is>
      </c>
      <c r="E3" s="1" t="inlineStr">
        <is>
          <t>差评</t>
        </is>
      </c>
      <c r="F3" s="1" t="inlineStr">
        <is>
          <t>好评占比</t>
        </is>
      </c>
      <c r="G3" s="1" t="inlineStr">
        <is>
          <t>平均星级</t>
        </is>
      </c>
    </row>
    <row r="4">
      <c r="A4" s="6" t="inlineStr">
        <is>
          <t>2026-01</t>
        </is>
      </c>
      <c r="B4" s="6">
        <f>COUNTIF(打标明细!K:K,A4)</f>
        <v/>
      </c>
      <c r="C4" s="6">
        <f>COUNTIFS(打标明细!K:K,A4,打标明细!L:L,"是")</f>
        <v/>
      </c>
      <c r="D4" s="6">
        <f>COUNTIFS(打标明细!K:K,A4,打标明细!X:X,"好评")</f>
        <v/>
      </c>
      <c r="E4" s="6">
        <f>COUNTIFS(打标明细!K:K,A4,打标明细!X:X,"差评")</f>
        <v/>
      </c>
      <c r="F4" s="7">
        <f>IFERROR(D4/B4,"")</f>
        <v/>
      </c>
      <c r="G4" s="9">
        <f>IFERROR(AVERAGEIFS(打标明细!C:C,打标明细!K:K,A4),"")</f>
        <v/>
      </c>
    </row>
    <row r="5">
      <c r="A5" s="6" t="inlineStr">
        <is>
          <t>2026-02</t>
        </is>
      </c>
      <c r="B5" s="6">
        <f>COUNTIF(打标明细!K:K,A5)</f>
        <v/>
      </c>
      <c r="C5" s="6">
        <f>COUNTIFS(打标明细!K:K,A5,打标明细!L:L,"是")</f>
        <v/>
      </c>
      <c r="D5" s="6">
        <f>COUNTIFS(打标明细!K:K,A5,打标明细!X:X,"好评")</f>
        <v/>
      </c>
      <c r="E5" s="6">
        <f>COUNTIFS(打标明细!K:K,A5,打标明细!X:X,"差评")</f>
        <v/>
      </c>
      <c r="F5" s="7">
        <f>IFERROR(D5/B5,"")</f>
        <v/>
      </c>
      <c r="G5" s="9">
        <f>IFERROR(AVERAGEIFS(打标明细!C:C,打标明细!K:K,A5),"")</f>
        <v/>
      </c>
    </row>
    <row r="6">
      <c r="A6" s="6" t="inlineStr">
        <is>
          <t>2026-03</t>
        </is>
      </c>
      <c r="B6" s="6">
        <f>COUNTIF(打标明细!K:K,A6)</f>
        <v/>
      </c>
      <c r="C6" s="6">
        <f>COUNTIFS(打标明细!K:K,A6,打标明细!L:L,"是")</f>
        <v/>
      </c>
      <c r="D6" s="6">
        <f>COUNTIFS(打标明细!K:K,A6,打标明细!X:X,"好评")</f>
        <v/>
      </c>
      <c r="E6" s="6">
        <f>COUNTIFS(打标明细!K:K,A6,打标明细!X:X,"差评")</f>
        <v/>
      </c>
      <c r="F6" s="7">
        <f>IFERROR(D6/B6,"")</f>
        <v/>
      </c>
      <c r="G6" s="9">
        <f>IFERROR(AVERAGEIFS(打标明细!C:C,打标明细!K:K,A6),"")</f>
        <v/>
      </c>
    </row>
    <row r="7">
      <c r="A7" s="6" t="inlineStr">
        <is>
          <t>2026-04</t>
        </is>
      </c>
      <c r="B7" s="6">
        <f>COUNTIF(打标明细!K:K,A7)</f>
        <v/>
      </c>
      <c r="C7" s="6">
        <f>COUNTIFS(打标明细!K:K,A7,打标明细!L:L,"是")</f>
        <v/>
      </c>
      <c r="D7" s="6">
        <f>COUNTIFS(打标明细!K:K,A7,打标明细!X:X,"好评")</f>
        <v/>
      </c>
      <c r="E7" s="6">
        <f>COUNTIFS(打标明细!K:K,A7,打标明细!X:X,"差评")</f>
        <v/>
      </c>
      <c r="F7" s="7">
        <f>IFERROR(D7/B7,"")</f>
        <v/>
      </c>
      <c r="G7" s="9">
        <f>IFERROR(AVERAGEIFS(打标明细!C:C,打标明细!K:K,A7),"")</f>
        <v/>
      </c>
    </row>
    <row r="8">
      <c r="A8" s="6" t="inlineStr">
        <is>
          <t>2026-05</t>
        </is>
      </c>
      <c r="B8" s="6">
        <f>COUNTIF(打标明细!K:K,A8)</f>
        <v/>
      </c>
      <c r="C8" s="6">
        <f>COUNTIFS(打标明细!K:K,A8,打标明细!L:L,"是")</f>
        <v/>
      </c>
      <c r="D8" s="6">
        <f>COUNTIFS(打标明细!K:K,A8,打标明细!X:X,"好评")</f>
        <v/>
      </c>
      <c r="E8" s="6">
        <f>COUNTIFS(打标明细!K:K,A8,打标明细!X:X,"差评")</f>
        <v/>
      </c>
      <c r="F8" s="7">
        <f>IFERROR(D8/B8,"")</f>
        <v/>
      </c>
      <c r="G8" s="9">
        <f>IFERROR(AVERAGEIFS(打标明细!C:C,打标明细!K:K,A8),"")</f>
        <v/>
      </c>
    </row>
    <row r="9">
      <c r="A9" s="6" t="inlineStr">
        <is>
          <t>2026-06</t>
        </is>
      </c>
      <c r="B9" s="6">
        <f>COUNTIF(打标明细!K:K,A9)</f>
        <v/>
      </c>
      <c r="C9" s="6">
        <f>COUNTIFS(打标明细!K:K,A9,打标明细!L:L,"是")</f>
        <v/>
      </c>
      <c r="D9" s="6">
        <f>COUNTIFS(打标明细!K:K,A9,打标明细!X:X,"好评")</f>
        <v/>
      </c>
      <c r="E9" s="6">
        <f>COUNTIFS(打标明细!K:K,A9,打标明细!X:X,"差评")</f>
        <v/>
      </c>
      <c r="F9" s="7">
        <f>IFERROR(D9/B9,"")</f>
        <v/>
      </c>
      <c r="G9" s="9">
        <f>IFERROR(AVERAGEIFS(打标明细!C:C,打标明细!K:K,A9),"")</f>
        <v/>
      </c>
    </row>
    <row r="10">
      <c r="A10" s="6" t="inlineStr">
        <is>
          <t>2026-07</t>
        </is>
      </c>
      <c r="B10" s="6">
        <f>COUNTIF(打标明细!K:K,A10)</f>
        <v/>
      </c>
      <c r="C10" s="6">
        <f>COUNTIFS(打标明细!K:K,A10,打标明细!L:L,"是")</f>
        <v/>
      </c>
      <c r="D10" s="6">
        <f>COUNTIFS(打标明细!K:K,A10,打标明细!X:X,"好评")</f>
        <v/>
      </c>
      <c r="E10" s="6">
        <f>COUNTIFS(打标明细!K:K,A10,打标明细!X:X,"差评")</f>
        <v/>
      </c>
      <c r="F10" s="7">
        <f>IFERROR(D10/B10,"")</f>
        <v/>
      </c>
      <c r="G10" s="9">
        <f>IFERROR(AVERAGEIFS(打标明细!C:C,打标明细!K:K,A10),"")</f>
        <v/>
      </c>
    </row>
    <row r="11">
      <c r="A11" s="6" t="inlineStr">
        <is>
          <t>2026-08</t>
        </is>
      </c>
      <c r="B11" s="6">
        <f>COUNTIF(打标明细!K:K,A11)</f>
        <v/>
      </c>
      <c r="C11" s="6">
        <f>COUNTIFS(打标明细!K:K,A11,打标明细!L:L,"是")</f>
        <v/>
      </c>
      <c r="D11" s="6">
        <f>COUNTIFS(打标明细!K:K,A11,打标明细!X:X,"好评")</f>
        <v/>
      </c>
      <c r="E11" s="6">
        <f>COUNTIFS(打标明细!K:K,A11,打标明细!X:X,"差评")</f>
        <v/>
      </c>
      <c r="F11" s="7">
        <f>IFERROR(D11/B11,"")</f>
        <v/>
      </c>
      <c r="G11" s="9">
        <f>IFERROR(AVERAGEIFS(打标明细!C:C,打标明细!K:K,A11),"")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6" customWidth="1" min="1" max="1"/>
    <col width="10" customWidth="1" min="2" max="2"/>
    <col width="14" customWidth="1" min="3" max="3"/>
  </cols>
  <sheetData>
    <row r="1">
      <c r="A1" s="4" t="inlineStr">
        <is>
          <t>往下再问一层（要问什么，打标的时候就留好了位置）｜「没说」的占比本身就是结论</t>
        </is>
      </c>
    </row>
    <row r="3">
      <c r="A3" s="8" t="inlineStr">
        <is>
          <t>防滑效果(泛指) · 什么场合</t>
        </is>
      </c>
    </row>
    <row r="4">
      <c r="A4" s="1" t="inlineStr">
        <is>
          <t>答案</t>
        </is>
      </c>
      <c r="B4" s="1" t="inlineStr">
        <is>
          <t>条数</t>
        </is>
      </c>
      <c r="C4" s="1" t="inlineStr">
        <is>
          <t>占这一问</t>
        </is>
      </c>
    </row>
    <row r="5">
      <c r="A5" s="6" t="inlineStr">
        <is>
          <t>低头</t>
        </is>
      </c>
      <c r="B5" s="6" t="n">
        <v>3</v>
      </c>
      <c r="C5" s="7">
        <f>IFERROR(B5/7,"")</f>
        <v/>
      </c>
    </row>
    <row r="6">
      <c r="A6" s="6" t="inlineStr">
        <is>
          <t>运动</t>
        </is>
      </c>
      <c r="B6" s="6" t="n">
        <v>3</v>
      </c>
      <c r="C6" s="7">
        <f>IFERROR(B6/7,"")</f>
        <v/>
      </c>
    </row>
    <row r="7">
      <c r="A7" s="6" t="inlineStr">
        <is>
          <t>没说</t>
        </is>
      </c>
      <c r="B7" s="6" t="n">
        <v>1</v>
      </c>
      <c r="C7" s="7">
        <f>IFERROR(B7/7,"")</f>
        <v/>
      </c>
    </row>
    <row r="9">
      <c r="A9" s="8" t="inlineStr">
        <is>
          <t>充电盒收纳 · 怎么个不行</t>
        </is>
      </c>
    </row>
    <row r="10">
      <c r="A10" s="1" t="inlineStr">
        <is>
          <t>答案</t>
        </is>
      </c>
      <c r="B10" s="1" t="inlineStr">
        <is>
          <t>条数</t>
        </is>
      </c>
      <c r="C10" s="1" t="inlineStr">
        <is>
          <t>占这一问</t>
        </is>
      </c>
    </row>
    <row r="11">
      <c r="A11" s="6" t="inlineStr">
        <is>
          <t>放不进去或合不上盖</t>
        </is>
      </c>
      <c r="B11" s="6" t="n">
        <v>9</v>
      </c>
      <c r="C11" s="7">
        <f>IFERROR(B11/9,"")</f>
        <v/>
      </c>
    </row>
    <row r="13">
      <c r="A13" s="8" t="inlineStr">
        <is>
          <t>背胶牢固度 · 多久出的问题</t>
        </is>
      </c>
    </row>
    <row r="14">
      <c r="A14" s="1" t="inlineStr">
        <is>
          <t>答案</t>
        </is>
      </c>
      <c r="B14" s="1" t="inlineStr">
        <is>
          <t>条数</t>
        </is>
      </c>
      <c r="C14" s="1" t="inlineStr">
        <is>
          <t>占这一问</t>
        </is>
      </c>
    </row>
    <row r="15">
      <c r="A15" s="6" t="inlineStr">
        <is>
          <t>一周内</t>
        </is>
      </c>
      <c r="B15" s="6" t="n">
        <v>11</v>
      </c>
      <c r="C15" s="7">
        <f>IFERROR(B15/20,"")</f>
        <v/>
      </c>
    </row>
    <row r="16">
      <c r="A16" s="6" t="inlineStr">
        <is>
          <t>没说</t>
        </is>
      </c>
      <c r="B16" s="6" t="n">
        <v>8</v>
      </c>
      <c r="C16" s="7">
        <f>IFERROR(B16/20,"")</f>
        <v/>
      </c>
    </row>
    <row r="17">
      <c r="A17" s="6" t="inlineStr">
        <is>
          <t>第一天</t>
        </is>
      </c>
      <c r="B17" s="6" t="n">
        <v>1</v>
      </c>
      <c r="C17" s="7">
        <f>IFERROR(B17/20,"")</f>
        <v/>
      </c>
    </row>
    <row r="19">
      <c r="A19" s="8" t="inlineStr">
        <is>
          <t>背胶牢固度 · 什么场合</t>
        </is>
      </c>
    </row>
    <row r="20">
      <c r="A20" s="1" t="inlineStr">
        <is>
          <t>答案</t>
        </is>
      </c>
      <c r="B20" s="1" t="inlineStr">
        <is>
          <t>条数</t>
        </is>
      </c>
      <c r="C20" s="1" t="inlineStr">
        <is>
          <t>占这一问</t>
        </is>
      </c>
    </row>
    <row r="21">
      <c r="A21" s="6" t="inlineStr">
        <is>
          <t>没说</t>
        </is>
      </c>
      <c r="B21" s="6" t="n">
        <v>12</v>
      </c>
      <c r="C21" s="7">
        <f>IFERROR(B21/20,"")</f>
        <v/>
      </c>
    </row>
    <row r="22">
      <c r="A22" s="6" t="inlineStr">
        <is>
          <t>出汗</t>
        </is>
      </c>
      <c r="B22" s="6" t="n">
        <v>5</v>
      </c>
      <c r="C22" s="7">
        <f>IFERROR(B22/20,"")</f>
        <v/>
      </c>
    </row>
    <row r="23">
      <c r="A23" s="6" t="inlineStr">
        <is>
          <t>日常佩戴</t>
        </is>
      </c>
      <c r="B23" s="6" t="n">
        <v>2</v>
      </c>
      <c r="C23" s="7">
        <f>IFERROR(B23/20,"")</f>
        <v/>
      </c>
    </row>
    <row r="24">
      <c r="A24" s="6" t="inlineStr">
        <is>
          <t>放充电盒时</t>
        </is>
      </c>
      <c r="B24" s="6" t="n">
        <v>1</v>
      </c>
      <c r="C24" s="7">
        <f>IFERROR(B24/20,"")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4" customWidth="1" min="1" max="1"/>
    <col width="70" customWidth="1" min="2" max="2"/>
    <col width="8" customWidth="1" min="3" max="3"/>
    <col width="8" customWidth="1" min="4" max="4"/>
  </cols>
  <sheetData>
    <row r="1">
      <c r="A1" s="4" t="inlineStr">
        <is>
          <t>每个结论对应哪几条原话（序号对应「打标明细」）</t>
        </is>
      </c>
    </row>
    <row r="3">
      <c r="A3" s="1" t="inlineStr">
        <is>
          <t>结论</t>
        </is>
      </c>
      <c r="B3" s="1" t="inlineStr">
        <is>
          <t>原话（节选）</t>
        </is>
      </c>
      <c r="C3" s="1" t="inlineStr">
        <is>
          <t>序号</t>
        </is>
      </c>
      <c r="D3" s="1" t="inlineStr">
        <is>
          <t>星级</t>
        </is>
      </c>
    </row>
    <row r="4">
      <c r="A4" s="2" t="inlineStr">
        <is>
          <t>背胶是 5 月以后才坏的</t>
        </is>
      </c>
      <c r="B4" s="2" t="inlineStr">
        <is>
          <t>Used to love these, this is my third order. The latest ones are stiffer and do not stick like before.</t>
        </is>
      </c>
      <c r="C4" s="2" t="n">
        <v>83</v>
      </c>
      <c r="D4" s="2" t="n">
        <v>2</v>
      </c>
    </row>
    <row r="5">
      <c r="A5" s="2" t="inlineStr">
        <is>
          <t>宽度一边倒</t>
        </is>
      </c>
      <c r="B5" s="2" t="inlineStr">
        <is>
          <t>Stops the slide. But the pads are wider than the frame pad and it looks like I stuck tape on my glasses.</t>
        </is>
      </c>
      <c r="C5" s="2" t="n">
        <v>37</v>
      </c>
      <c r="D5" s="2" t="n">
        <v>3</v>
      </c>
    </row>
    <row r="6">
      <c r="A6" s="2" t="inlineStr">
        <is>
          <t>2.5mm 放不回充电盒</t>
        </is>
      </c>
      <c r="B6" s="2" t="inlineStr">
        <is>
          <t>Glasses won't fit the case with the 2.5 pads. The photos show them in the case so I assumed it would work.</t>
        </is>
      </c>
      <c r="C6" s="2" t="n">
        <v>48</v>
      </c>
      <c r="D6" s="2" t="n">
        <v>2</v>
      </c>
    </row>
    <row r="7">
      <c r="A7" s="2" t="inlineStr">
        <is>
          <t>星级和文字对不上，以文字为准</t>
        </is>
      </c>
      <c r="B7" s="2" t="inlineStr">
        <is>
          <t>Comfortable but the glasses will not close in the charging case with these on. I take them off every night which defeats the purpose.</t>
        </is>
      </c>
      <c r="C7" s="2" t="n">
        <v>20</v>
      </c>
      <c r="D7" s="2"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4" customWidth="1" min="1" max="1"/>
    <col width="95" customWidth="1" min="2" max="2"/>
  </cols>
  <sheetData>
    <row r="1">
      <c r="A1" s="10" t="inlineStr">
        <is>
          <t>A款-防滑鼻托套装(2对装)｜评论分析 · 说明与口径</t>
        </is>
      </c>
    </row>
    <row r="3">
      <c r="A3" s="11" t="inlineStr">
        <is>
          <t>数据处理记录</t>
        </is>
      </c>
      <c r="B3" s="12" t="inlineStr"/>
    </row>
    <row r="4">
      <c r="A4" s="13" t="inlineStr">
        <is>
          <t>品类</t>
        </is>
      </c>
      <c r="B4" s="12" t="inlineStr">
        <is>
          <t>AI 眼镜配件</t>
        </is>
      </c>
    </row>
    <row r="5">
      <c r="A5" s="13" t="inlineStr">
        <is>
          <t>配置版本</t>
        </is>
      </c>
      <c r="B5" s="12" t="inlineStr">
        <is>
          <t>v0.2</t>
        </is>
      </c>
    </row>
    <row r="6">
      <c r="A6" s="13" t="inlineStr">
        <is>
          <t>文件编码</t>
        </is>
      </c>
      <c r="B6" s="12" t="inlineStr">
        <is>
          <t>utf-8-sig</t>
        </is>
      </c>
    </row>
    <row r="7">
      <c r="A7" s="13" t="inlineStr">
        <is>
          <t>原始条数</t>
        </is>
      </c>
      <c r="B7" s="12" t="inlineStr">
        <is>
          <t>97</t>
        </is>
      </c>
    </row>
    <row r="8">
      <c r="A8" s="13" t="inlineStr">
        <is>
          <t>剔掉送测</t>
        </is>
      </c>
      <c r="B8" s="12" t="inlineStr">
        <is>
          <t>5</t>
        </is>
      </c>
    </row>
    <row r="9">
      <c r="A9" s="13" t="inlineStr">
        <is>
          <t>剔掉没写字的</t>
        </is>
      </c>
      <c r="B9" s="12" t="inlineStr">
        <is>
          <t>0</t>
        </is>
      </c>
    </row>
    <row r="10">
      <c r="A10" s="13" t="inlineStr">
        <is>
          <t>进入分析</t>
        </is>
      </c>
      <c r="B10" s="12" t="inlineStr">
        <is>
          <t>92</t>
        </is>
      </c>
    </row>
    <row r="11">
      <c r="A11" s="13" t="inlineStr">
        <is>
          <t>疑似刷的</t>
        </is>
      </c>
      <c r="B11" s="12" t="inlineStr">
        <is>
          <t>4</t>
        </is>
      </c>
    </row>
    <row r="12">
      <c r="A12" s="13" t="inlineStr">
        <is>
          <t>差评占比_1到2星</t>
        </is>
      </c>
      <c r="B12" s="12" t="inlineStr">
        <is>
          <t>0.25</t>
        </is>
      </c>
    </row>
    <row r="13">
      <c r="A13" s="13" t="inlineStr">
        <is>
          <t>平均星级</t>
        </is>
      </c>
      <c r="B13" s="12" t="inlineStr">
        <is>
          <t>3.78</t>
        </is>
      </c>
    </row>
    <row r="14">
      <c r="A14" s="11" t="inlineStr"/>
      <c r="B14" s="12" t="inlineStr"/>
    </row>
    <row r="15">
      <c r="A15" s="13" t="inlineStr">
        <is>
          <t>门槛与分界</t>
        </is>
      </c>
      <c r="B15" s="12" t="inlineStr">
        <is>
          <t>进排名 ≥5 次 · 横向 6 次 · 纵向 63.3%</t>
        </is>
      </c>
    </row>
    <row r="16">
      <c r="A16" s="13" t="inlineStr">
        <is>
          <t>去掉疑似刷的之后</t>
        </is>
      </c>
      <c r="B16" s="12" t="inlineStr">
        <is>
          <t>整体好评占比 64.1% → 62.5%</t>
        </is>
      </c>
    </row>
    <row r="17">
      <c r="A17" s="13" t="inlineStr">
        <is>
          <t>该先动的</t>
        </is>
      </c>
      <c r="B17" s="12" t="inlineStr">
        <is>
          <t>背胶牢固度 · 充电盒收纳 · 外观隐形 · 宽度与覆盖 · 值不值</t>
        </is>
      </c>
    </row>
    <row r="18">
      <c r="A18" s="13" t="inlineStr">
        <is>
          <t>已经赢了的</t>
        </is>
      </c>
      <c r="B18" s="12" t="inlineStr">
        <is>
          <t>防滑效果(泛指) · 佩戴舒适 · 整体高度 · 质量(泛指) · 硅胶软硬</t>
        </is>
      </c>
    </row>
    <row r="19">
      <c r="A19" s="11" t="inlineStr"/>
      <c r="B19" s="12" t="inlineStr"/>
    </row>
    <row r="20">
      <c r="A20" s="11" t="inlineStr">
        <is>
          <t>这批数据答不了什么</t>
        </is>
      </c>
      <c r="B20" s="12" t="inlineStr"/>
    </row>
    <row r="21">
      <c r="A21" s="13" t="inlineStr"/>
      <c r="B21" s="12" t="inlineStr">
        <is>
          <t>92 条，属于「可以判方向」这一档（不到 30 条只读不算；50–200 条判方向；200 条以上才做细分对比）。所有分组里最小的一格只有几条，比例不能当定量结论用。</t>
        </is>
      </c>
    </row>
    <row r="22">
      <c r="A22" s="13" t="inlineStr"/>
      <c r="B22" s="12" t="inlineStr">
        <is>
          <t>疑似刷的评论 4 条（同一天、同一规格、5 星、写得特别长），只标记没有删。去掉之后整体好评占比从 64.1% 变成 62.5%，结论方向不变。</t>
        </is>
      </c>
    </row>
    <row r="23">
      <c r="A23" s="13" t="inlineStr"/>
      <c r="B23" s="12" t="inlineStr">
        <is>
          <t>有 1 条 5 星评论，正文是差评（放不回充电盒、「defeats the purpose」）。好坏以文字为准，这一条按差评算。</t>
        </is>
      </c>
    </row>
    <row r="24">
      <c r="A24" s="13" t="inlineStr"/>
      <c r="B24" s="12" t="inlineStr">
        <is>
          <t>背胶的下钻里，「多久出的问题」40% 没说，「什么场合」60% 没说。评论这份数据在「为什么掉」上到此为止，已写进行动清单去补。</t>
        </is>
      </c>
    </row>
    <row r="25">
      <c r="A25" s="13" t="inlineStr"/>
      <c r="B25" s="12" t="inlineStr">
        <is>
          <t>7 月、8 月各只有 9 条、8 条，按月比例不稳，只看方向。</t>
        </is>
      </c>
    </row>
    <row r="26">
      <c r="A26" s="13" t="inlineStr"/>
      <c r="B26" s="12" t="inlineStr">
        <is>
          <t>整体高度在评论里是 4 条嫌高、1 条嫌矮，样本太少，不下结论；这一项以退货那边的 15 比 16 为准。</t>
        </is>
      </c>
    </row>
    <row r="27">
      <c r="A27" s="13" t="inlineStr"/>
      <c r="B27" s="12" t="inlineStr">
        <is>
          <t>退货那份数据只当独立佐证用，没有和评论混在一起算任何一个比例。</t>
        </is>
      </c>
    </row>
    <row r="28">
      <c r="A28" s="13" t="inlineStr"/>
      <c r="B28" s="12" t="inlineStr">
        <is>
          <t>被页面那句选档建议坑到的人，在退货里有 6 条，在评论里只有 1 条——买了不满意的人多数不写评论，直接退了。只看评论会低估这件事。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2026-09-21T16:56:48Z</dcterms:created>
  <dcterms:modified xmlns:dcterms="http://purl.org/dc/terms/" xmlns:xsi="http://www.w3.org/2001/XMLSchema-instance" xsi:type="dcterms:W3CDTF">2026-09-21T16:56:48Z</dcterms:modified>
</cp:coreProperties>
</file>