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与口径" sheetId="1" state="visible" r:id="rId1"/>
    <sheet xmlns:r="http://schemas.openxmlformats.org/officeDocument/2006/relationships" name="01_打标明细" sheetId="2" state="visible" r:id="rId2"/>
    <sheet xmlns:r="http://schemas.openxmlformats.org/officeDocument/2006/relationships" name="02_标签统计" sheetId="3" state="visible" r:id="rId3"/>
    <sheet xmlns:r="http://schemas.openxmlformats.org/officeDocument/2006/relationships" name="03_该谁改与严重度" sheetId="4" state="visible" r:id="rId4"/>
    <sheet xmlns:r="http://schemas.openxmlformats.org/officeDocument/2006/relationships" name="04_哪件事×规格" sheetId="5" state="visible" r:id="rId5"/>
    <sheet xmlns:r="http://schemas.openxmlformats.org/officeDocument/2006/relationships" name="05_该谁改×原因码" sheetId="6" state="visible" r:id="rId6"/>
    <sheet xmlns:r="http://schemas.openxmlformats.org/officeDocument/2006/relationships" name="06_大盘与两头对称" sheetId="7" state="visible" r:id="rId7"/>
  </sheets>
  <definedNames>
    <definedName name="_xlnm._FilterDatabase" localSheetId="1" hidden="1">'01_打标明细'!$A$1:$P$95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864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3" fillId="2" borderId="1" applyAlignment="1" pivotButton="0" quotePrefix="0" xfId="0">
      <alignment horizontal="center"/>
    </xf>
    <xf numFmtId="164" fontId="3" fillId="2" borderId="1" applyAlignment="1" pivotButton="0" quotePrefix="0" xfId="0">
      <alignment vertical="top"/>
    </xf>
    <xf numFmtId="164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2" fillId="0" borderId="0" pivotButton="0" quotePrefix="0" xfId="0"/>
    <xf numFmtId="0" fontId="4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4" customWidth="1" min="1" max="1"/>
    <col width="76" customWidth="1" min="2" max="2"/>
    <col width="18" customWidth="1" min="3" max="3"/>
  </cols>
  <sheetData>
    <row r="1">
      <c r="A1" s="1" t="inlineStr">
        <is>
          <t>A款-防滑鼻托套装(2对装)｜退货分析</t>
        </is>
      </c>
    </row>
    <row r="2">
      <c r="A2" s="2" t="n"/>
      <c r="B2" s="2" t="n"/>
      <c r="C2" s="2" t="n"/>
    </row>
    <row r="3">
      <c r="A3" s="3" t="inlineStr">
        <is>
          <t>一、清洗漏斗</t>
        </is>
      </c>
      <c r="B3" s="2" t="n"/>
      <c r="C3" s="2" t="n"/>
    </row>
    <row r="4">
      <c r="A4" s="2" t="inlineStr">
        <is>
          <t>步骤</t>
        </is>
      </c>
      <c r="B4" s="2" t="inlineStr">
        <is>
          <t>规则</t>
        </is>
      </c>
      <c r="C4" s="2" t="inlineStr">
        <is>
          <t>剩下</t>
        </is>
      </c>
    </row>
    <row r="5">
      <c r="A5" s="2" t="inlineStr">
        <is>
          <t>原始行数</t>
        </is>
      </c>
      <c r="B5" s="2" t="inlineStr">
        <is>
          <t>导出文件的全部行</t>
        </is>
      </c>
      <c r="C5" s="2" t="n">
        <v>371</v>
      </c>
    </row>
    <row r="6">
      <c r="A6" s="2" t="inlineStr">
        <is>
          <t>只留退货</t>
        </is>
      </c>
      <c r="B6" s="2" t="inlineStr">
        <is>
          <t>换货用的是另一套原因码，必须先筛掉</t>
        </is>
      </c>
      <c r="C6" s="2" t="n">
        <v>357</v>
      </c>
    </row>
    <row r="7">
      <c r="A7" s="2" t="inlineStr">
        <is>
          <t>限定范围</t>
        </is>
      </c>
      <c r="B7" s="2" t="inlineStr">
        <is>
          <t>产品=A款-防滑鼻托套装(2对装) · 站点=全部</t>
        </is>
      </c>
      <c r="C7" s="2" t="n">
        <v>357</v>
      </c>
    </row>
    <row r="8">
      <c r="A8" s="2" t="inlineStr">
        <is>
          <t>剔掉与产品无关的</t>
        </is>
      </c>
      <c r="B8" s="2" t="inlineStr">
        <is>
          <t>物流 / 客户改主意 / 没给原因，共 10 类</t>
        </is>
      </c>
      <c r="C8" s="2" t="n">
        <v>283</v>
      </c>
    </row>
    <row r="9">
      <c r="A9" s="2" t="inlineStr">
        <is>
          <t>留下且有原话</t>
        </is>
      </c>
      <c r="B9" s="2" t="inlineStr">
        <is>
          <t>没写字的、只有平台套话的（7 条）都去掉</t>
        </is>
      </c>
      <c r="C9" s="2" t="n">
        <v>94</v>
      </c>
    </row>
    <row r="10">
      <c r="A10" s="2" t="n"/>
      <c r="B10" s="2" t="n"/>
      <c r="C10" s="2" t="n"/>
    </row>
    <row r="11">
      <c r="A11" s="3" t="inlineStr">
        <is>
          <t>二、口径</t>
        </is>
      </c>
      <c r="B11" s="2" t="n"/>
      <c r="C11" s="2" t="n"/>
    </row>
    <row r="12">
      <c r="A12" s="2" t="inlineStr">
        <is>
          <t>退货明细行</t>
        </is>
      </c>
      <c r="B12" s="2" t="inlineStr">
        <is>
          <t>本次范围内的退货行数</t>
        </is>
      </c>
      <c r="C12" s="2" t="n">
        <v>357</v>
      </c>
    </row>
    <row r="13">
      <c r="A13" s="2" t="inlineStr">
        <is>
          <t>退货订单</t>
        </is>
      </c>
      <c r="B13" s="2" t="inlineStr">
        <is>
          <t>同一订单只算一次</t>
        </is>
      </c>
      <c r="C13" s="2" t="n">
        <v>332</v>
      </c>
    </row>
    <row r="14">
      <c r="A14" s="2" t="inlineStr">
        <is>
          <t>写了原因的占比</t>
        </is>
      </c>
      <c r="B14" s="2" t="inlineStr">
        <is>
          <t>写了字的 ÷ 明细行</t>
        </is>
      </c>
      <c r="C14" s="2" t="n">
        <v>0.283</v>
      </c>
    </row>
    <row r="15">
      <c r="A15" s="2" t="inlineStr">
        <is>
          <t>⚠ 编码损坏</t>
        </is>
      </c>
      <c r="B15" s="2" t="inlineStr">
        <is>
          <t>原话里出现 2 处字面的 '??'。非英文字符在导出时就丢了，救不回来。要求重新导出为 UTF-8，不要拿坏掉的原话去打标。</t>
        </is>
      </c>
      <c r="C15" s="2" t="n"/>
    </row>
    <row r="16">
      <c r="A16" s="2" t="n"/>
      <c r="B16" s="2" t="n"/>
      <c r="C16" s="2" t="n"/>
    </row>
    <row r="17">
      <c r="A17" s="3" t="inlineStr">
        <is>
          <t>三、「该谁改」怎么判</t>
        </is>
      </c>
      <c r="B17" s="2" t="n"/>
      <c r="C17" s="2" t="n"/>
    </row>
    <row r="18">
      <c r="A18" s="2" t="inlineStr">
        <is>
          <t>产品的事</t>
        </is>
      </c>
      <c r="B18" s="2" t="inlineStr">
        <is>
          <t>客户拿「产品该做到的事」当参照  →  改结构、改材料、大货抽检</t>
        </is>
      </c>
      <c r="C18" s="2" t="inlineStr">
        <is>
          <t>产品 · 研发/品控</t>
        </is>
      </c>
    </row>
    <row r="19">
      <c r="A19" s="2" t="inlineStr">
        <is>
          <t>页面的事</t>
        </is>
      </c>
      <c r="B19" s="2" t="inlineStr">
        <is>
          <t>客户拿「你告诉他的话」当参照  →  校准规格表、收敛宣称、补图文</t>
        </is>
      </c>
      <c r="C19" s="2" t="inlineStr">
        <is>
          <t>运营 · 页面</t>
        </is>
      </c>
    </row>
    <row r="20">
      <c r="A20" s="2" t="inlineStr">
        <is>
          <t>客户自己选错</t>
        </is>
      </c>
      <c r="B20" s="2" t="inlineStr">
        <is>
          <t>客户自己认了  →  用来算能挽回多少，优化换档引导</t>
        </is>
      </c>
      <c r="C20" s="2" t="inlineStr">
        <is>
          <t>不算产品问题</t>
        </is>
      </c>
    </row>
    <row r="21">
      <c r="A21" s="2" t="inlineStr">
        <is>
          <t>不该买这款</t>
        </is>
      </c>
      <c r="B21" s="2" t="inlineStr">
        <is>
          <t>产品没坏、页面没错，是这个人不该买这一款  →  重新说清楚卖给谁</t>
        </is>
      </c>
      <c r="C21" s="2" t="inlineStr">
        <is>
          <t>品牌 · 定位</t>
        </is>
      </c>
    </row>
    <row r="22">
      <c r="A22" s="2" t="inlineStr">
        <is>
          <t>说不清</t>
        </is>
      </c>
      <c r="B22" s="2" t="inlineStr">
        <is>
          <t>原话信息不够  →  不拿来做决定，但占比本身是结论</t>
        </is>
      </c>
      <c r="C22" s="2" t="inlineStr">
        <is>
          <t>—</t>
        </is>
      </c>
    </row>
    <row r="23">
      <c r="A23" s="2" t="inlineStr">
        <is>
          <t>其他</t>
        </is>
      </c>
      <c r="B23" s="2" t="inlineStr">
        <is>
          <t>跟产品和页面都无关  →  包装、到货状态等</t>
        </is>
      </c>
      <c r="C23" s="2" t="inlineStr">
        <is>
          <t>—</t>
        </is>
      </c>
    </row>
    <row r="24">
      <c r="A24" s="2" t="n"/>
      <c r="B24" s="2" t="n"/>
      <c r="C24" s="2" t="n"/>
    </row>
    <row r="25">
      <c r="A25" s="3" t="inlineStr">
        <is>
          <t>四、这批数据答不了什么</t>
        </is>
      </c>
      <c r="B25" s="2" t="n"/>
      <c r="C25" s="2" t="n"/>
    </row>
    <row r="26">
      <c r="A26" s="2" t="n"/>
      <c r="B26" s="2" t="inlineStr">
        <is>
          <t>「说不清该谁改」占 33%（31 条）。这不是打标失败，是平台的退货表单没给客户说清楚的地方——大量原话只有「fit」「case」「too thin」这样的残句。没有线索一律判说不清，不替客户猜。要压低这个比例，得在售后工单或退货问卷里加一道开放题。</t>
        </is>
      </c>
      <c r="C26" s="2" t="n"/>
    </row>
    <row r="27">
      <c r="A27" s="2" t="n"/>
      <c r="B27" s="2" t="inlineStr">
        <is>
          <t>这个品类的平台原因码里没有「太高 / 太矮」这种带方向的码，所以「两头是否对称」只能在原话那一层算（31 条），没有全部退货那一层做对照。</t>
        </is>
      </c>
      <c r="C27" s="2" t="n"/>
    </row>
    <row r="28">
      <c r="A28" s="2" t="n"/>
      <c r="B28" s="2" t="inlineStr">
        <is>
          <t>宽度那一项只有 9 条，判「一边倒」靠的是 9 比 0 这个形状，不是样本量。充电盒收纳 5 条全在 2.5mm，同理。都应该在下一轮数据里再看一眼。</t>
        </is>
      </c>
      <c r="C28" s="2" t="n"/>
    </row>
    <row r="29">
      <c r="A29" s="2" t="n"/>
      <c r="B29" s="2" t="inlineStr">
        <is>
          <t>硅胶软硬 3 硬 1 软、同款批次硬度不同 1 条，样本太少，只写进了待验证，没有进结论。</t>
        </is>
      </c>
      <c r="C29" s="2" t="n"/>
    </row>
    <row r="30">
      <c r="A30" s="2" t="n"/>
      <c r="B30" s="2" t="inlineStr">
        <is>
          <t>2 条德国站原话里有 1 条在导出时被弄坏了（变音字母变成了问号），意思还能认出来，照常打了标；德语的「多严重」没有单独校准过，这 2 条都按中度算。以后要是德国站多起来，必须重新导出为 UTF-8。</t>
        </is>
      </c>
      <c r="C30" s="2" t="n"/>
    </row>
    <row r="31">
      <c r="A31" s="2" t="n"/>
      <c r="B31" s="2" t="inlineStr">
        <is>
          <t>多严重靠语气和后果判：明说东西掉了、坏了、生气了的算严重；只说高了矮了的算中度；自己认了选错的算轻度。</t>
        </is>
      </c>
      <c r="C31" s="2" t="n"/>
    </row>
    <row r="32">
      <c r="A32" s="2" t="n"/>
      <c r="B32" s="2" t="inlineStr">
        <is>
          <t>末期数据没有回流完整的月份不要拿来看走势。</t>
        </is>
      </c>
      <c r="C3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2" customWidth="1" min="4" max="4"/>
    <col width="16" customWidth="1" min="5" max="5"/>
    <col width="12" customWidth="1" min="6" max="6"/>
    <col width="24" customWidth="1" min="7" max="7"/>
    <col width="58" customWidth="1" min="8" max="8"/>
    <col width="12" customWidth="1" min="9" max="9"/>
    <col width="36" customWidth="1" min="10" max="10"/>
    <col width="24" customWidth="1" min="11" max="11"/>
    <col width="20" customWidth="1" min="12" max="12"/>
    <col width="20" customWidth="1" min="13" max="13"/>
    <col width="12" customWidth="1" min="14" max="14"/>
    <col width="12" customWidth="1" min="15" max="15"/>
    <col width="12" customWidth="1" min="16" max="16"/>
  </cols>
  <sheetData>
    <row r="1">
      <c r="A1" s="4" t="inlineStr">
        <is>
          <t>序号</t>
        </is>
      </c>
      <c r="B1" s="4" t="inlineStr">
        <is>
          <t>记录编号</t>
        </is>
      </c>
      <c r="C1" s="4" t="inlineStr">
        <is>
          <t>订单号</t>
        </is>
      </c>
      <c r="D1" s="4" t="inlineStr">
        <is>
          <t>站点</t>
        </is>
      </c>
      <c r="E1" s="4" t="inlineStr">
        <is>
          <t>规格</t>
        </is>
      </c>
      <c r="F1" s="4" t="inlineStr">
        <is>
          <t>月份</t>
        </is>
      </c>
      <c r="G1" s="4" t="inlineStr">
        <is>
          <t>平台原因码</t>
        </is>
      </c>
      <c r="H1" s="4" t="inlineStr">
        <is>
          <t>原话</t>
        </is>
      </c>
      <c r="I1" s="4" t="inlineStr">
        <is>
          <t>哪件事_大类</t>
        </is>
      </c>
      <c r="J1" s="4" t="inlineStr">
        <is>
          <t>哪件事_细项</t>
        </is>
      </c>
      <c r="K1" s="4" t="inlineStr">
        <is>
          <t>谁在说</t>
        </is>
      </c>
      <c r="L1" s="4" t="inlineStr">
        <is>
          <t>什么情况下</t>
        </is>
      </c>
      <c r="M1" s="4" t="inlineStr">
        <is>
          <t>过程感受</t>
        </is>
      </c>
      <c r="N1" s="4" t="inlineStr">
        <is>
          <t>该谁改</t>
        </is>
      </c>
      <c r="O1" s="4" t="inlineStr">
        <is>
          <t>多严重</t>
        </is>
      </c>
      <c r="P1" s="4" t="inlineStr">
        <is>
          <t>能否挽回</t>
        </is>
      </c>
    </row>
    <row r="2">
      <c r="A2" s="5" t="inlineStr">
        <is>
          <t>1</t>
        </is>
      </c>
      <c r="B2" s="5" t="inlineStr">
        <is>
          <t>SAMPLE-EV-0003</t>
        </is>
      </c>
      <c r="C2" s="5" t="inlineStr">
        <is>
          <t>SAMPLE-ORDER-9106</t>
        </is>
      </c>
      <c r="D2" s="5" t="inlineStr">
        <is>
          <t>US</t>
        </is>
      </c>
      <c r="E2" s="5" t="inlineStr">
        <is>
          <t>大号款-2.5mm</t>
        </is>
      </c>
      <c r="F2" s="5" t="inlineStr">
        <is>
          <t>2026-01</t>
        </is>
      </c>
      <c r="G2" s="5" t="inlineStr">
        <is>
          <t>NOT_AS_DESCRIBED</t>
        </is>
      </c>
      <c r="H2" s="5" t="inlineStr">
        <is>
          <t>followed the size recommendation on the page, 2.5 is too high for me</t>
        </is>
      </c>
      <c r="I2" s="5" t="inlineStr">
        <is>
          <t>高度与贴合</t>
        </is>
      </c>
      <c r="J2" s="5" t="inlineStr">
        <is>
          <t>整体高度:偏高; 选档指引</t>
        </is>
      </c>
      <c r="K2" s="5" t="inlineStr">
        <is>
          <t>照页面指引选的</t>
        </is>
      </c>
      <c r="L2" s="5" t="inlineStr"/>
      <c r="M2" s="5" t="inlineStr"/>
      <c r="N2" s="5" t="inlineStr">
        <is>
          <t>页面的事</t>
        </is>
      </c>
      <c r="O2" s="5" t="inlineStr">
        <is>
          <t>中度</t>
        </is>
      </c>
      <c r="P2" s="5" t="inlineStr">
        <is>
          <t>否</t>
        </is>
      </c>
    </row>
    <row r="3">
      <c r="A3" s="5" t="inlineStr">
        <is>
          <t>2</t>
        </is>
      </c>
      <c r="B3" s="5" t="inlineStr">
        <is>
          <t>SAMPLE-EV-0008</t>
        </is>
      </c>
      <c r="C3" s="5" t="inlineStr">
        <is>
          <t>SAMPLE-ORDER-9388</t>
        </is>
      </c>
      <c r="D3" s="5" t="inlineStr">
        <is>
          <t>US</t>
        </is>
      </c>
      <c r="E3" s="5" t="inlineStr">
        <is>
          <t>大号款-2.5mm</t>
        </is>
      </c>
      <c r="F3" s="5" t="inlineStr">
        <is>
          <t>2026-06</t>
        </is>
      </c>
      <c r="G3" s="5" t="inlineStr">
        <is>
          <t>QUALITY_UNACCEPTABLE</t>
        </is>
      </c>
      <c r="H3" s="5" t="inlineStr">
        <is>
          <t>not worth the price for four bits of silicone</t>
        </is>
      </c>
      <c r="I3" s="5" t="inlineStr">
        <is>
          <t>综合质量</t>
        </is>
      </c>
      <c r="J3" s="5" t="inlineStr">
        <is>
          <t>值不值</t>
        </is>
      </c>
      <c r="K3" s="5" t="inlineStr"/>
      <c r="L3" s="5" t="inlineStr"/>
      <c r="M3" s="5" t="inlineStr"/>
      <c r="N3" s="5" t="inlineStr">
        <is>
          <t>说不清</t>
        </is>
      </c>
      <c r="O3" s="5" t="inlineStr">
        <is>
          <t>轻度</t>
        </is>
      </c>
      <c r="P3" s="5" t="inlineStr">
        <is>
          <t>否</t>
        </is>
      </c>
    </row>
    <row r="4">
      <c r="A4" s="5" t="inlineStr">
        <is>
          <t>3</t>
        </is>
      </c>
      <c r="B4" s="5" t="inlineStr">
        <is>
          <t>SAMPLE-EV-0009</t>
        </is>
      </c>
      <c r="C4" s="5" t="inlineStr">
        <is>
          <t>SAMPLE-ORDER-3558</t>
        </is>
      </c>
      <c r="D4" s="5" t="inlineStr">
        <is>
          <t>US</t>
        </is>
      </c>
      <c r="E4" s="5" t="inlineStr">
        <is>
          <t>标准款-2.5mm</t>
        </is>
      </c>
      <c r="F4" s="5" t="inlineStr">
        <is>
          <t>2026-08</t>
        </is>
      </c>
      <c r="G4" s="5" t="inlineStr">
        <is>
          <t>QUALITY_UNACCEPTABLE</t>
        </is>
      </c>
      <c r="H4" s="5" t="inlineStr">
        <is>
          <t>second order from the same listing. These pads are noticeably harder than my first set</t>
        </is>
      </c>
      <c r="I4" s="5" t="inlineStr">
        <is>
          <t>综合质量</t>
        </is>
      </c>
      <c r="J4" s="5" t="inlineStr">
        <is>
          <t>同款批次一致性; 硅胶软硬:偏硬</t>
        </is>
      </c>
      <c r="K4" s="5" t="inlineStr">
        <is>
          <t>长期佩戴</t>
        </is>
      </c>
      <c r="L4" s="5" t="inlineStr"/>
      <c r="M4" s="5" t="inlineStr"/>
      <c r="N4" s="5" t="inlineStr">
        <is>
          <t>产品的事</t>
        </is>
      </c>
      <c r="O4" s="5" t="inlineStr">
        <is>
          <t>中度</t>
        </is>
      </c>
      <c r="P4" s="5" t="inlineStr">
        <is>
          <t>否</t>
        </is>
      </c>
    </row>
    <row r="5">
      <c r="A5" s="5" t="inlineStr">
        <is>
          <t>4</t>
        </is>
      </c>
      <c r="B5" s="5" t="inlineStr">
        <is>
          <t>SAMPLE-EV-0014</t>
        </is>
      </c>
      <c r="C5" s="5" t="inlineStr">
        <is>
          <t>SAMPLE-ORDER-1360</t>
        </is>
      </c>
      <c r="D5" s="5" t="inlineStr">
        <is>
          <t>US</t>
        </is>
      </c>
      <c r="E5" s="5" t="inlineStr">
        <is>
          <t>标准款-2.5mm</t>
        </is>
      </c>
      <c r="F5" s="5" t="inlineStr">
        <is>
          <t>2026-01</t>
        </is>
      </c>
      <c r="G5" s="5" t="inlineStr">
        <is>
          <t>DEFECTIVE</t>
        </is>
      </c>
      <c r="H5" s="5" t="inlineStr">
        <is>
          <t>not good</t>
        </is>
      </c>
      <c r="I5" s="5" t="inlineStr">
        <is>
          <t>综合质量</t>
        </is>
      </c>
      <c r="J5" s="5" t="inlineStr">
        <is>
          <t>质量(泛指)</t>
        </is>
      </c>
      <c r="K5" s="5" t="inlineStr"/>
      <c r="L5" s="5" t="inlineStr"/>
      <c r="M5" s="5" t="inlineStr"/>
      <c r="N5" s="5" t="inlineStr">
        <is>
          <t>说不清</t>
        </is>
      </c>
      <c r="O5" s="5" t="inlineStr">
        <is>
          <t>中度</t>
        </is>
      </c>
      <c r="P5" s="5" t="inlineStr">
        <is>
          <t>否</t>
        </is>
      </c>
    </row>
    <row r="6">
      <c r="A6" s="5" t="inlineStr">
        <is>
          <t>5</t>
        </is>
      </c>
      <c r="B6" s="5" t="inlineStr">
        <is>
          <t>SAMPLE-EV-0021</t>
        </is>
      </c>
      <c r="C6" s="5" t="inlineStr">
        <is>
          <t>SAMPLE-ORDER-3815</t>
        </is>
      </c>
      <c r="D6" s="5" t="inlineStr">
        <is>
          <t>US</t>
        </is>
      </c>
      <c r="E6" s="5" t="inlineStr">
        <is>
          <t>大号款-1.8mm</t>
        </is>
      </c>
      <c r="F6" s="5" t="inlineStr">
        <is>
          <t>2026-02</t>
        </is>
      </c>
      <c r="G6" s="5" t="inlineStr">
        <is>
          <t>NOT_AS_DESCRIBED</t>
        </is>
      </c>
      <c r="H6" s="5" t="inlineStr">
        <is>
          <t>fit</t>
        </is>
      </c>
      <c r="I6" s="5" t="inlineStr">
        <is>
          <t>高度与贴合</t>
        </is>
      </c>
      <c r="J6" s="5" t="inlineStr">
        <is>
          <t>合适度(没说方向)</t>
        </is>
      </c>
      <c r="K6" s="5" t="inlineStr"/>
      <c r="L6" s="5" t="inlineStr"/>
      <c r="M6" s="5" t="inlineStr"/>
      <c r="N6" s="5" t="inlineStr">
        <is>
          <t>说不清</t>
        </is>
      </c>
      <c r="O6" s="5" t="inlineStr">
        <is>
          <t>轻度</t>
        </is>
      </c>
      <c r="P6" s="5" t="inlineStr">
        <is>
          <t>否</t>
        </is>
      </c>
    </row>
    <row r="7">
      <c r="A7" s="5" t="inlineStr">
        <is>
          <t>6</t>
        </is>
      </c>
      <c r="B7" s="5" t="inlineStr">
        <is>
          <t>SAMPLE-EV-0024</t>
        </is>
      </c>
      <c r="C7" s="5" t="inlineStr">
        <is>
          <t>SAMPLE-ORDER-5463</t>
        </is>
      </c>
      <c r="D7" s="5" t="inlineStr">
        <is>
          <t>US</t>
        </is>
      </c>
      <c r="E7" s="5" t="inlineStr">
        <is>
          <t>标准款-2.5mm</t>
        </is>
      </c>
      <c r="F7" s="5" t="inlineStr">
        <is>
          <t>2026-02</t>
        </is>
      </c>
      <c r="G7" s="5" t="inlineStr">
        <is>
          <t>NOT_AS_DESCRIBED</t>
        </is>
      </c>
      <c r="H7" s="5" t="inlineStr">
        <is>
          <t>Listing says sweat proof adhesive. Came off after one gym session</t>
        </is>
      </c>
      <c r="I7" s="5" t="inlineStr">
        <is>
          <t>防滑与固定</t>
        </is>
      </c>
      <c r="J7" s="5" t="inlineStr">
        <is>
          <t>背胶牢固度; 防滑宣称兑现度</t>
        </is>
      </c>
      <c r="K7" s="5" t="inlineStr"/>
      <c r="L7" s="5" t="inlineStr">
        <is>
          <t>运动出汗</t>
        </is>
      </c>
      <c r="M7" s="5" t="inlineStr"/>
      <c r="N7" s="5" t="inlineStr">
        <is>
          <t>页面的事</t>
        </is>
      </c>
      <c r="O7" s="5" t="inlineStr">
        <is>
          <t>严重</t>
        </is>
      </c>
      <c r="P7" s="5" t="inlineStr">
        <is>
          <t>否</t>
        </is>
      </c>
    </row>
    <row r="8">
      <c r="A8" s="5" t="inlineStr">
        <is>
          <t>7</t>
        </is>
      </c>
      <c r="B8" s="5" t="inlineStr">
        <is>
          <t>SAMPLE-EV-0026</t>
        </is>
      </c>
      <c r="C8" s="5" t="inlineStr">
        <is>
          <t>SAMPLE-ORDER-7507</t>
        </is>
      </c>
      <c r="D8" s="5" t="inlineStr">
        <is>
          <t>US</t>
        </is>
      </c>
      <c r="E8" s="5" t="inlineStr">
        <is>
          <t>标准款-2.5mm</t>
        </is>
      </c>
      <c r="F8" s="5" t="inlineStr">
        <is>
          <t>2026-03</t>
        </is>
      </c>
      <c r="G8" s="5" t="inlineStr">
        <is>
          <t>DEFECTIVE</t>
        </is>
      </c>
      <c r="H8" s="5" t="inlineStr">
        <is>
          <t>Sits too high. Took them off after an hour</t>
        </is>
      </c>
      <c r="I8" s="5" t="inlineStr">
        <is>
          <t>高度与贴合</t>
        </is>
      </c>
      <c r="J8" s="5" t="inlineStr">
        <is>
          <t>整体高度:偏高</t>
        </is>
      </c>
      <c r="K8" s="5" t="inlineStr"/>
      <c r="L8" s="5" t="inlineStr"/>
      <c r="M8" s="5" t="inlineStr">
        <is>
          <t>佩戴舒适度</t>
        </is>
      </c>
      <c r="N8" s="5" t="inlineStr">
        <is>
          <t>说不清</t>
        </is>
      </c>
      <c r="O8" s="5" t="inlineStr">
        <is>
          <t>中度</t>
        </is>
      </c>
      <c r="P8" s="5" t="inlineStr">
        <is>
          <t>否</t>
        </is>
      </c>
    </row>
    <row r="9">
      <c r="A9" s="5" t="inlineStr">
        <is>
          <t>8</t>
        </is>
      </c>
      <c r="B9" s="5" t="inlineStr">
        <is>
          <t>SAMPLE-EV-0027</t>
        </is>
      </c>
      <c r="C9" s="5" t="inlineStr">
        <is>
          <t>SAMPLE-ORDER-0711</t>
        </is>
      </c>
      <c r="D9" s="5" t="inlineStr">
        <is>
          <t>US</t>
        </is>
      </c>
      <c r="E9" s="5" t="inlineStr">
        <is>
          <t>标准款-1.8mm</t>
        </is>
      </c>
      <c r="F9" s="5" t="inlineStr">
        <is>
          <t>2026-01</t>
        </is>
      </c>
      <c r="G9" s="5" t="inlineStr">
        <is>
          <t>NOT_AS_DESCRIBED</t>
        </is>
      </c>
      <c r="H9" s="5" t="inlineStr">
        <is>
          <t>very nice idea but I don't want anything glued to my glasses</t>
        </is>
      </c>
      <c r="I9" s="5" t="inlineStr">
        <is>
          <t>综合质量</t>
        </is>
      </c>
      <c r="J9" s="5" t="inlineStr">
        <is>
          <t>贴片式形态(这一款特有); 与预期(泛指)</t>
        </is>
      </c>
      <c r="K9" s="5" t="inlineStr"/>
      <c r="L9" s="5" t="inlineStr"/>
      <c r="M9" s="5" t="inlineStr"/>
      <c r="N9" s="5" t="inlineStr">
        <is>
          <t>不该买这款</t>
        </is>
      </c>
      <c r="O9" s="5" t="inlineStr">
        <is>
          <t>轻度</t>
        </is>
      </c>
      <c r="P9" s="5" t="inlineStr">
        <is>
          <t>否</t>
        </is>
      </c>
    </row>
    <row r="10">
      <c r="A10" s="5" t="inlineStr">
        <is>
          <t>9</t>
        </is>
      </c>
      <c r="B10" s="5" t="inlineStr">
        <is>
          <t>SAMPLE-EV-0029</t>
        </is>
      </c>
      <c r="C10" s="5" t="inlineStr">
        <is>
          <t>SAMPLE-ORDER-4846</t>
        </is>
      </c>
      <c r="D10" s="5" t="inlineStr">
        <is>
          <t>US</t>
        </is>
      </c>
      <c r="E10" s="5" t="inlineStr">
        <is>
          <t>标准款-2.5mm</t>
        </is>
      </c>
      <c r="F10" s="5" t="inlineStr">
        <is>
          <t>2026-06</t>
        </is>
      </c>
      <c r="G10" s="5" t="inlineStr">
        <is>
          <t>NOT_AS_DESCRIBED</t>
        </is>
      </c>
      <c r="H10" s="5" t="inlineStr">
        <is>
          <t>even 2.5 is not enough height for me</t>
        </is>
      </c>
      <c r="I10" s="5" t="inlineStr">
        <is>
          <t>高度与贴合</t>
        </is>
      </c>
      <c r="J10" s="5" t="inlineStr">
        <is>
          <t>整体高度:偏矮</t>
        </is>
      </c>
      <c r="K10" s="5" t="inlineStr"/>
      <c r="L10" s="5" t="inlineStr"/>
      <c r="M10" s="5" t="inlineStr"/>
      <c r="N10" s="5" t="inlineStr">
        <is>
          <t>说不清</t>
        </is>
      </c>
      <c r="O10" s="5" t="inlineStr">
        <is>
          <t>中度</t>
        </is>
      </c>
      <c r="P10" s="5" t="inlineStr">
        <is>
          <t>否</t>
        </is>
      </c>
    </row>
    <row r="11">
      <c r="A11" s="5" t="inlineStr">
        <is>
          <t>10</t>
        </is>
      </c>
      <c r="B11" s="5" t="inlineStr">
        <is>
          <t>SAMPLE-EV-0030</t>
        </is>
      </c>
      <c r="C11" s="5" t="inlineStr">
        <is>
          <t>SAMPLE-ORDER-0951</t>
        </is>
      </c>
      <c r="D11" s="5" t="inlineStr">
        <is>
          <t>US</t>
        </is>
      </c>
      <c r="E11" s="5" t="inlineStr">
        <is>
          <t>标准款-2.5mm</t>
        </is>
      </c>
      <c r="F11" s="5" t="inlineStr">
        <is>
          <t>2026-03</t>
        </is>
      </c>
      <c r="G11" s="5" t="inlineStr">
        <is>
          <t>NOT_AS_DESCRIBED</t>
        </is>
      </c>
      <c r="H11" s="5" t="inlineStr">
        <is>
          <t>page says pick 2.5 if glasses slide. They did stop sliding but now sit too high and the photos are all tilted up</t>
        </is>
      </c>
      <c r="I11" s="5" t="inlineStr">
        <is>
          <t>高度与贴合</t>
        </is>
      </c>
      <c r="J11" s="5" t="inlineStr">
        <is>
          <t>整体高度:偏高; 选档指引; 摄像头视角</t>
        </is>
      </c>
      <c r="K11" s="5" t="inlineStr">
        <is>
          <t>照页面指引选的</t>
        </is>
      </c>
      <c r="L11" s="5" t="inlineStr"/>
      <c r="M11" s="5" t="inlineStr">
        <is>
          <t>安心感(夸)</t>
        </is>
      </c>
      <c r="N11" s="5" t="inlineStr">
        <is>
          <t>页面的事</t>
        </is>
      </c>
      <c r="O11" s="5" t="inlineStr">
        <is>
          <t>中度</t>
        </is>
      </c>
      <c r="P11" s="5" t="inlineStr">
        <is>
          <t>否</t>
        </is>
      </c>
    </row>
    <row r="12">
      <c r="A12" s="5" t="inlineStr">
        <is>
          <t>11</t>
        </is>
      </c>
      <c r="B12" s="5" t="inlineStr">
        <is>
          <t>SAMPLE-EV-0032</t>
        </is>
      </c>
      <c r="C12" s="5" t="inlineStr">
        <is>
          <t>SAMPLE-ORDER-4163</t>
        </is>
      </c>
      <c r="D12" s="5" t="inlineStr">
        <is>
          <t>US</t>
        </is>
      </c>
      <c r="E12" s="5" t="inlineStr">
        <is>
          <t>大号款-2.5mm</t>
        </is>
      </c>
      <c r="F12" s="5" t="inlineStr">
        <is>
          <t>2026-01</t>
        </is>
      </c>
      <c r="G12" s="5" t="inlineStr">
        <is>
          <t>ORDERED_WRONG_ITEM</t>
        </is>
      </c>
      <c r="H12" s="5" t="inlineStr">
        <is>
          <t>2.5 was too much, swapping for the 1.8</t>
        </is>
      </c>
      <c r="I12" s="5" t="inlineStr">
        <is>
          <t>高度与贴合</t>
        </is>
      </c>
      <c r="J12" s="5" t="inlineStr">
        <is>
          <t>整体高度:偏高</t>
        </is>
      </c>
      <c r="K12" s="5" t="inlineStr">
        <is>
          <t>计划换档</t>
        </is>
      </c>
      <c r="L12" s="5" t="inlineStr"/>
      <c r="M12" s="5" t="inlineStr"/>
      <c r="N12" s="5" t="inlineStr">
        <is>
          <t>说不清</t>
        </is>
      </c>
      <c r="O12" s="5" t="inlineStr">
        <is>
          <t>轻度</t>
        </is>
      </c>
      <c r="P12" s="5" t="inlineStr">
        <is>
          <t>是</t>
        </is>
      </c>
    </row>
    <row r="13">
      <c r="A13" s="5" t="inlineStr">
        <is>
          <t>12</t>
        </is>
      </c>
      <c r="B13" s="5" t="inlineStr">
        <is>
          <t>SAMPLE-EV-0047</t>
        </is>
      </c>
      <c r="C13" s="5" t="inlineStr">
        <is>
          <t>SAMPLE-ORDER-0203</t>
        </is>
      </c>
      <c r="D13" s="5" t="inlineStr">
        <is>
          <t>US</t>
        </is>
      </c>
      <c r="E13" s="5" t="inlineStr">
        <is>
          <t>标准款-2.5mm</t>
        </is>
      </c>
      <c r="F13" s="5" t="inlineStr">
        <is>
          <t>2026-02</t>
        </is>
      </c>
      <c r="G13" s="5" t="inlineStr">
        <is>
          <t>NOT_AS_DESCRIBED</t>
        </is>
      </c>
      <c r="H13" s="5" t="inlineStr">
        <is>
          <t>The page told me to go 2.5 for a low bridge. Too much lift</t>
        </is>
      </c>
      <c r="I13" s="5" t="inlineStr">
        <is>
          <t>高度与贴合</t>
        </is>
      </c>
      <c r="J13" s="5" t="inlineStr">
        <is>
          <t>整体高度:偏高; 选档指引</t>
        </is>
      </c>
      <c r="K13" s="5" t="inlineStr">
        <is>
          <t>照页面指引选的</t>
        </is>
      </c>
      <c r="L13" s="5" t="inlineStr"/>
      <c r="M13" s="5" t="inlineStr"/>
      <c r="N13" s="5" t="inlineStr">
        <is>
          <t>页面的事</t>
        </is>
      </c>
      <c r="O13" s="5" t="inlineStr">
        <is>
          <t>中度</t>
        </is>
      </c>
      <c r="P13" s="5" t="inlineStr">
        <is>
          <t>否</t>
        </is>
      </c>
    </row>
    <row r="14">
      <c r="A14" s="5" t="inlineStr">
        <is>
          <t>13</t>
        </is>
      </c>
      <c r="B14" s="5" t="inlineStr">
        <is>
          <t>SAMPLE-EV-0048</t>
        </is>
      </c>
      <c r="C14" s="5" t="inlineStr">
        <is>
          <t>SAMPLE-ORDER-0503</t>
        </is>
      </c>
      <c r="D14" s="5" t="inlineStr">
        <is>
          <t>US</t>
        </is>
      </c>
      <c r="E14" s="5" t="inlineStr">
        <is>
          <t>标准款-2.5mm</t>
        </is>
      </c>
      <c r="F14" s="5" t="inlineStr">
        <is>
          <t>2026-01</t>
        </is>
      </c>
      <c r="G14" s="5" t="inlineStr">
        <is>
          <t>DEFECTIVE</t>
        </is>
      </c>
      <c r="H14" s="5" t="inlineStr">
        <is>
          <t>They don't work for me. Glasses still slide when I run</t>
        </is>
      </c>
      <c r="I14" s="5" t="inlineStr">
        <is>
          <t>防滑与固定</t>
        </is>
      </c>
      <c r="J14" s="5" t="inlineStr">
        <is>
          <t>防滑效果(泛指)</t>
        </is>
      </c>
      <c r="K14" s="5" t="inlineStr"/>
      <c r="L14" s="5" t="inlineStr">
        <is>
          <t>运动出汗</t>
        </is>
      </c>
      <c r="M14" s="5" t="inlineStr"/>
      <c r="N14" s="5" t="inlineStr">
        <is>
          <t>产品的事</t>
        </is>
      </c>
      <c r="O14" s="5" t="inlineStr">
        <is>
          <t>严重</t>
        </is>
      </c>
      <c r="P14" s="5" t="inlineStr">
        <is>
          <t>否</t>
        </is>
      </c>
    </row>
    <row r="15">
      <c r="A15" s="5" t="inlineStr">
        <is>
          <t>14</t>
        </is>
      </c>
      <c r="B15" s="5" t="inlineStr">
        <is>
          <t>SAMPLE-EV-0050</t>
        </is>
      </c>
      <c r="C15" s="5" t="inlineStr">
        <is>
          <t>SAMPLE-ORDER-4821</t>
        </is>
      </c>
      <c r="D15" s="5" t="inlineStr">
        <is>
          <t>US</t>
        </is>
      </c>
      <c r="E15" s="5" t="inlineStr">
        <is>
          <t>大号款-2.5mm</t>
        </is>
      </c>
      <c r="F15" s="5" t="inlineStr">
        <is>
          <t>2026-07</t>
        </is>
      </c>
      <c r="G15" s="5" t="inlineStr">
        <is>
          <t>NOT_AS_DESCRIBED</t>
        </is>
      </c>
      <c r="H15" s="5" t="inlineStr">
        <is>
          <t>too high on nose, as recommended size</t>
        </is>
      </c>
      <c r="I15" s="5" t="inlineStr">
        <is>
          <t>高度与贴合</t>
        </is>
      </c>
      <c r="J15" s="5" t="inlineStr">
        <is>
          <t>整体高度:偏高; 选档指引</t>
        </is>
      </c>
      <c r="K15" s="5" t="inlineStr">
        <is>
          <t>照页面指引选的</t>
        </is>
      </c>
      <c r="L15" s="5" t="inlineStr"/>
      <c r="M15" s="5" t="inlineStr"/>
      <c r="N15" s="5" t="inlineStr">
        <is>
          <t>页面的事</t>
        </is>
      </c>
      <c r="O15" s="5" t="inlineStr">
        <is>
          <t>中度</t>
        </is>
      </c>
      <c r="P15" s="5" t="inlineStr">
        <is>
          <t>否</t>
        </is>
      </c>
    </row>
    <row r="16">
      <c r="A16" s="5" t="inlineStr">
        <is>
          <t>15</t>
        </is>
      </c>
      <c r="B16" s="5" t="inlineStr">
        <is>
          <t>SAMPLE-EV-0051</t>
        </is>
      </c>
      <c r="C16" s="5" t="inlineStr">
        <is>
          <t>SAMPLE-ORDER-8622</t>
        </is>
      </c>
      <c r="D16" s="5" t="inlineStr">
        <is>
          <t>US</t>
        </is>
      </c>
      <c r="E16" s="5" t="inlineStr">
        <is>
          <t>大号款-2.5mm</t>
        </is>
      </c>
      <c r="F16" s="5" t="inlineStr">
        <is>
          <t>2026-04</t>
        </is>
      </c>
      <c r="G16" s="5" t="inlineStr">
        <is>
          <t>NOT_AS_DESCRIBED</t>
        </is>
      </c>
      <c r="H16" s="5" t="inlineStr">
        <is>
          <t>thickness</t>
        </is>
      </c>
      <c r="I16" s="5" t="inlineStr">
        <is>
          <t>高度与贴合</t>
        </is>
      </c>
      <c r="J16" s="5" t="inlineStr">
        <is>
          <t>合适度(没说方向)</t>
        </is>
      </c>
      <c r="K16" s="5" t="inlineStr"/>
      <c r="L16" s="5" t="inlineStr"/>
      <c r="M16" s="5" t="inlineStr"/>
      <c r="N16" s="5" t="inlineStr">
        <is>
          <t>说不清</t>
        </is>
      </c>
      <c r="O16" s="5" t="inlineStr">
        <is>
          <t>轻度</t>
        </is>
      </c>
      <c r="P16" s="5" t="inlineStr">
        <is>
          <t>否</t>
        </is>
      </c>
    </row>
    <row r="17">
      <c r="A17" s="5" t="inlineStr">
        <is>
          <t>16</t>
        </is>
      </c>
      <c r="B17" s="5" t="inlineStr">
        <is>
          <t>SAMPLE-EV-0056</t>
        </is>
      </c>
      <c r="C17" s="5" t="inlineStr">
        <is>
          <t>SAMPLE-ORDER-8107</t>
        </is>
      </c>
      <c r="D17" s="5" t="inlineStr">
        <is>
          <t>US</t>
        </is>
      </c>
      <c r="E17" s="5" t="inlineStr">
        <is>
          <t>大号款-1.8mm</t>
        </is>
      </c>
      <c r="F17" s="5" t="inlineStr">
        <is>
          <t>2026-02</t>
        </is>
      </c>
      <c r="G17" s="5" t="inlineStr">
        <is>
          <t>NOT_COMPATIBLE</t>
        </is>
      </c>
      <c r="H17" s="5" t="inlineStr">
        <is>
          <t>not for Skyler model even though title says fits all</t>
        </is>
      </c>
      <c r="I17" s="5" t="inlineStr">
        <is>
          <t>兼容与收纳</t>
        </is>
      </c>
      <c r="J17" s="5" t="inlineStr">
        <is>
          <t>机型适配; 兼容宣称兑现度</t>
        </is>
      </c>
      <c r="K17" s="5" t="inlineStr"/>
      <c r="L17" s="5" t="inlineStr"/>
      <c r="M17" s="5" t="inlineStr"/>
      <c r="N17" s="5" t="inlineStr">
        <is>
          <t>页面的事</t>
        </is>
      </c>
      <c r="O17" s="5" t="inlineStr">
        <is>
          <t>中度</t>
        </is>
      </c>
      <c r="P17" s="5" t="inlineStr">
        <is>
          <t>否</t>
        </is>
      </c>
    </row>
    <row r="18">
      <c r="A18" s="5" t="inlineStr">
        <is>
          <t>17</t>
        </is>
      </c>
      <c r="B18" s="5" t="inlineStr">
        <is>
          <t>SAMPLE-EV-0063</t>
        </is>
      </c>
      <c r="C18" s="5" t="inlineStr">
        <is>
          <t>SAMPLE-ORDER-6414</t>
        </is>
      </c>
      <c r="D18" s="5" t="inlineStr">
        <is>
          <t>US</t>
        </is>
      </c>
      <c r="E18" s="5" t="inlineStr">
        <is>
          <t>标准款-1.8mm</t>
        </is>
      </c>
      <c r="F18" s="5" t="inlineStr">
        <is>
          <t>2026-02</t>
        </is>
      </c>
      <c r="G18" s="5" t="inlineStr">
        <is>
          <t>NOT_AS_DESCRIBED</t>
        </is>
      </c>
      <c r="H18" s="5" t="inlineStr">
        <is>
          <t>didn't fit</t>
        </is>
      </c>
      <c r="I18" s="5" t="inlineStr">
        <is>
          <t>高度与贴合</t>
        </is>
      </c>
      <c r="J18" s="5" t="inlineStr">
        <is>
          <t>合适度(没说方向)</t>
        </is>
      </c>
      <c r="K18" s="5" t="inlineStr"/>
      <c r="L18" s="5" t="inlineStr"/>
      <c r="M18" s="5" t="inlineStr"/>
      <c r="N18" s="5" t="inlineStr">
        <is>
          <t>说不清</t>
        </is>
      </c>
      <c r="O18" s="5" t="inlineStr">
        <is>
          <t>轻度</t>
        </is>
      </c>
      <c r="P18" s="5" t="inlineStr">
        <is>
          <t>否</t>
        </is>
      </c>
    </row>
    <row r="19">
      <c r="A19" s="5" t="inlineStr">
        <is>
          <t>18</t>
        </is>
      </c>
      <c r="B19" s="5" t="inlineStr">
        <is>
          <t>SAMPLE-EV-0067</t>
        </is>
      </c>
      <c r="C19" s="5" t="inlineStr">
        <is>
          <t>SAMPLE-ORDER-1287</t>
        </is>
      </c>
      <c r="D19" s="5" t="inlineStr">
        <is>
          <t>US</t>
        </is>
      </c>
      <c r="E19" s="5" t="inlineStr">
        <is>
          <t>标准款-1.8mm</t>
        </is>
      </c>
      <c r="F19" s="5" t="inlineStr">
        <is>
          <t>2026-05</t>
        </is>
      </c>
      <c r="G19" s="5" t="inlineStr">
        <is>
          <t>NOT_COMPATIBLE</t>
        </is>
      </c>
      <c r="H19" s="5" t="inlineStr">
        <is>
          <t>Great idea and really comfortable, but the glasses stopped charging in the case</t>
        </is>
      </c>
      <c r="I19" s="5" t="inlineStr">
        <is>
          <t>兼容与收纳</t>
        </is>
      </c>
      <c r="J19" s="5" t="inlineStr">
        <is>
          <t>装上后充电</t>
        </is>
      </c>
      <c r="K19" s="5" t="inlineStr"/>
      <c r="L19" s="5" t="inlineStr">
        <is>
          <t>放回充电盒时</t>
        </is>
      </c>
      <c r="M19" s="5" t="inlineStr">
        <is>
          <t>佩戴舒适度(夸)</t>
        </is>
      </c>
      <c r="N19" s="5" t="inlineStr">
        <is>
          <t>产品的事</t>
        </is>
      </c>
      <c r="O19" s="5" t="inlineStr">
        <is>
          <t>中度</t>
        </is>
      </c>
      <c r="P19" s="5" t="inlineStr">
        <is>
          <t>否</t>
        </is>
      </c>
    </row>
    <row r="20">
      <c r="A20" s="5" t="inlineStr">
        <is>
          <t>19</t>
        </is>
      </c>
      <c r="B20" s="5" t="inlineStr">
        <is>
          <t>SAMPLE-EV-0070</t>
        </is>
      </c>
      <c r="C20" s="5" t="inlineStr">
        <is>
          <t>SAMPLE-ORDER-5169</t>
        </is>
      </c>
      <c r="D20" s="5" t="inlineStr">
        <is>
          <t>US</t>
        </is>
      </c>
      <c r="E20" s="5" t="inlineStr">
        <is>
          <t>大号款-1.8mm</t>
        </is>
      </c>
      <c r="F20" s="5" t="inlineStr">
        <is>
          <t>2026-05</t>
        </is>
      </c>
      <c r="G20" s="5" t="inlineStr">
        <is>
          <t>NOT_AS_DESCRIBED</t>
        </is>
      </c>
      <c r="H20" s="5" t="inlineStr">
        <is>
          <t>color is not what the picture shows</t>
        </is>
      </c>
      <c r="I20" s="5" t="inlineStr">
        <is>
          <t>材质与做工</t>
        </is>
      </c>
      <c r="J20" s="5" t="inlineStr">
        <is>
          <t>颜色与图片一致</t>
        </is>
      </c>
      <c r="K20" s="5" t="inlineStr"/>
      <c r="L20" s="5" t="inlineStr"/>
      <c r="M20" s="5" t="inlineStr"/>
      <c r="N20" s="5" t="inlineStr">
        <is>
          <t>页面的事</t>
        </is>
      </c>
      <c r="O20" s="5" t="inlineStr">
        <is>
          <t>中度</t>
        </is>
      </c>
      <c r="P20" s="5" t="inlineStr">
        <is>
          <t>否</t>
        </is>
      </c>
    </row>
    <row r="21">
      <c r="A21" s="5" t="inlineStr">
        <is>
          <t>20</t>
        </is>
      </c>
      <c r="B21" s="5" t="inlineStr">
        <is>
          <t>SAMPLE-EV-0078</t>
        </is>
      </c>
      <c r="C21" s="5" t="inlineStr">
        <is>
          <t>SAMPLE-ORDER-9741</t>
        </is>
      </c>
      <c r="D21" s="5" t="inlineStr">
        <is>
          <t>US</t>
        </is>
      </c>
      <c r="E21" s="5" t="inlineStr">
        <is>
          <t>标准款-1.8mm</t>
        </is>
      </c>
      <c r="F21" s="5" t="inlineStr">
        <is>
          <t>2026-07</t>
        </is>
      </c>
      <c r="G21" s="5" t="inlineStr">
        <is>
          <t>NOT_AS_DESCRIBED</t>
        </is>
      </c>
      <c r="H21" s="5" t="inlineStr">
        <is>
          <t>pad is wider than the original nose piece, edges stick out and look ugly</t>
        </is>
      </c>
      <c r="I21" s="5" t="inlineStr">
        <is>
          <t>高度与贴合</t>
        </is>
      </c>
      <c r="J21" s="5" t="inlineStr">
        <is>
          <t>宽度与覆盖:偏宽</t>
        </is>
      </c>
      <c r="K21" s="5" t="inlineStr">
        <is>
          <t>原装鼻托</t>
        </is>
      </c>
      <c r="L21" s="5" t="inlineStr"/>
      <c r="M21" s="5" t="inlineStr">
        <is>
          <t>外观体面度</t>
        </is>
      </c>
      <c r="N21" s="5" t="inlineStr">
        <is>
          <t>产品的事</t>
        </is>
      </c>
      <c r="O21" s="5" t="inlineStr">
        <is>
          <t>中度</t>
        </is>
      </c>
      <c r="P21" s="5" t="inlineStr">
        <is>
          <t>否</t>
        </is>
      </c>
    </row>
    <row r="22">
      <c r="A22" s="5" t="inlineStr">
        <is>
          <t>21</t>
        </is>
      </c>
      <c r="B22" s="5" t="inlineStr">
        <is>
          <t>SAMPLE-EV-0084</t>
        </is>
      </c>
      <c r="C22" s="5" t="inlineStr">
        <is>
          <t>SAMPLE-ORDER-6590</t>
        </is>
      </c>
      <c r="D22" s="5" t="inlineStr">
        <is>
          <t>US</t>
        </is>
      </c>
      <c r="E22" s="5" t="inlineStr">
        <is>
          <t>标准款-2.5mm</t>
        </is>
      </c>
      <c r="F22" s="5" t="inlineStr">
        <is>
          <t>2026-06</t>
        </is>
      </c>
      <c r="G22" s="5" t="inlineStr">
        <is>
          <t>NOT_AS_DESCRIBED</t>
        </is>
      </c>
      <c r="H22" s="5" t="inlineStr">
        <is>
          <t>Pads are too thick, glasses sit way too high on my face</t>
        </is>
      </c>
      <c r="I22" s="5" t="inlineStr">
        <is>
          <t>高度与贴合</t>
        </is>
      </c>
      <c r="J22" s="5" t="inlineStr">
        <is>
          <t>整体高度:偏高</t>
        </is>
      </c>
      <c r="K22" s="5" t="inlineStr"/>
      <c r="L22" s="5" t="inlineStr"/>
      <c r="M22" s="5" t="inlineStr"/>
      <c r="N22" s="5" t="inlineStr">
        <is>
          <t>说不清</t>
        </is>
      </c>
      <c r="O22" s="5" t="inlineStr">
        <is>
          <t>中度</t>
        </is>
      </c>
      <c r="P22" s="5" t="inlineStr">
        <is>
          <t>否</t>
        </is>
      </c>
    </row>
    <row r="23">
      <c r="A23" s="5" t="inlineStr">
        <is>
          <t>22</t>
        </is>
      </c>
      <c r="B23" s="5" t="inlineStr">
        <is>
          <t>SAMPLE-EV-0088</t>
        </is>
      </c>
      <c r="C23" s="5" t="inlineStr">
        <is>
          <t>SAMPLE-ORDER-2436</t>
        </is>
      </c>
      <c r="D23" s="5" t="inlineStr">
        <is>
          <t>US</t>
        </is>
      </c>
      <c r="E23" s="5" t="inlineStr">
        <is>
          <t>标准款-1.8mm</t>
        </is>
      </c>
      <c r="F23" s="5" t="inlineStr">
        <is>
          <t>2026-01</t>
        </is>
      </c>
      <c r="G23" s="5" t="inlineStr">
        <is>
          <t>NOT_AS_DESCRIBED</t>
        </is>
      </c>
      <c r="H23" s="5" t="inlineStr">
        <is>
          <t>too short</t>
        </is>
      </c>
      <c r="I23" s="5" t="inlineStr">
        <is>
          <t>高度与贴合</t>
        </is>
      </c>
      <c r="J23" s="5" t="inlineStr">
        <is>
          <t>整体高度:偏矮</t>
        </is>
      </c>
      <c r="K23" s="5" t="inlineStr"/>
      <c r="L23" s="5" t="inlineStr"/>
      <c r="M23" s="5" t="inlineStr"/>
      <c r="N23" s="5" t="inlineStr">
        <is>
          <t>说不清</t>
        </is>
      </c>
      <c r="O23" s="5" t="inlineStr">
        <is>
          <t>轻度</t>
        </is>
      </c>
      <c r="P23" s="5" t="inlineStr">
        <is>
          <t>否</t>
        </is>
      </c>
    </row>
    <row r="24">
      <c r="A24" s="5" t="inlineStr">
        <is>
          <t>23</t>
        </is>
      </c>
      <c r="B24" s="5" t="inlineStr">
        <is>
          <t>SAMPLE-EV-0091</t>
        </is>
      </c>
      <c r="C24" s="5" t="inlineStr">
        <is>
          <t>SAMPLE-ORDER-7769</t>
        </is>
      </c>
      <c r="D24" s="5" t="inlineStr">
        <is>
          <t>US</t>
        </is>
      </c>
      <c r="E24" s="5" t="inlineStr">
        <is>
          <t>大号款-1.8mm</t>
        </is>
      </c>
      <c r="F24" s="5" t="inlineStr">
        <is>
          <t>2026-06</t>
        </is>
      </c>
      <c r="G24" s="5" t="inlineStr">
        <is>
          <t>QUALITY_UNACCEPTABLE</t>
        </is>
      </c>
      <c r="H24" s="5" t="inlineStr">
        <is>
          <t>too wide for the nose area, sticks out past the frame</t>
        </is>
      </c>
      <c r="I24" s="5" t="inlineStr">
        <is>
          <t>高度与贴合</t>
        </is>
      </c>
      <c r="J24" s="5" t="inlineStr">
        <is>
          <t>宽度与覆盖:偏宽</t>
        </is>
      </c>
      <c r="K24" s="5" t="inlineStr"/>
      <c r="L24" s="5" t="inlineStr"/>
      <c r="M24" s="5" t="inlineStr"/>
      <c r="N24" s="5" t="inlineStr">
        <is>
          <t>产品的事</t>
        </is>
      </c>
      <c r="O24" s="5" t="inlineStr">
        <is>
          <t>中度</t>
        </is>
      </c>
      <c r="P24" s="5" t="inlineStr">
        <is>
          <t>否</t>
        </is>
      </c>
    </row>
    <row r="25">
      <c r="A25" s="5" t="inlineStr">
        <is>
          <t>24</t>
        </is>
      </c>
      <c r="B25" s="5" t="inlineStr">
        <is>
          <t>SAMPLE-EV-0098</t>
        </is>
      </c>
      <c r="C25" s="5" t="inlineStr">
        <is>
          <t>SAMPLE-ORDER-4895</t>
        </is>
      </c>
      <c r="D25" s="5" t="inlineStr">
        <is>
          <t>US</t>
        </is>
      </c>
      <c r="E25" s="5" t="inlineStr">
        <is>
          <t>标准款-2.5mm</t>
        </is>
      </c>
      <c r="F25" s="5" t="inlineStr">
        <is>
          <t>2026-03</t>
        </is>
      </c>
      <c r="G25" s="5" t="inlineStr">
        <is>
          <t>QUALITY_UNACCEPTABLE</t>
        </is>
      </c>
      <c r="H25" s="5" t="inlineStr">
        <is>
          <t>looked like the bag had been opened before, pads had lint on them</t>
        </is>
      </c>
      <c r="I25" s="5" t="inlineStr">
        <is>
          <t>综合质量</t>
        </is>
      </c>
      <c r="J25" s="5" t="inlineStr">
        <is>
          <t>新旧状态</t>
        </is>
      </c>
      <c r="K25" s="5" t="inlineStr"/>
      <c r="L25" s="5" t="inlineStr"/>
      <c r="M25" s="5" t="inlineStr">
        <is>
          <t>收货第一印象</t>
        </is>
      </c>
      <c r="N25" s="5" t="inlineStr">
        <is>
          <t>产品的事</t>
        </is>
      </c>
      <c r="O25" s="5" t="inlineStr">
        <is>
          <t>严重</t>
        </is>
      </c>
      <c r="P25" s="5" t="inlineStr">
        <is>
          <t>否</t>
        </is>
      </c>
    </row>
    <row r="26">
      <c r="A26" s="5" t="inlineStr">
        <is>
          <t>25</t>
        </is>
      </c>
      <c r="B26" s="5" t="inlineStr">
        <is>
          <t>SAMPLE-EV-0101</t>
        </is>
      </c>
      <c r="C26" s="5" t="inlineStr">
        <is>
          <t>SAMPLE-ORDER-7326</t>
        </is>
      </c>
      <c r="D26" s="5" t="inlineStr">
        <is>
          <t>US</t>
        </is>
      </c>
      <c r="E26" s="5" t="inlineStr">
        <is>
          <t>标准款-1.8mm</t>
        </is>
      </c>
      <c r="F26" s="5" t="inlineStr">
        <is>
          <t>2026-08</t>
        </is>
      </c>
      <c r="G26" s="5" t="inlineStr">
        <is>
          <t>NOT_COMPATIBLE</t>
        </is>
      </c>
      <c r="H26" s="5" t="inlineStr">
        <is>
          <t>does not fit the Headliner frame, nose area is a different shape</t>
        </is>
      </c>
      <c r="I26" s="5" t="inlineStr">
        <is>
          <t>兼容与收纳</t>
        </is>
      </c>
      <c r="J26" s="5" t="inlineStr">
        <is>
          <t>机型适配</t>
        </is>
      </c>
      <c r="K26" s="5" t="inlineStr"/>
      <c r="L26" s="5" t="inlineStr"/>
      <c r="M26" s="5" t="inlineStr"/>
      <c r="N26" s="5" t="inlineStr">
        <is>
          <t>说不清</t>
        </is>
      </c>
      <c r="O26" s="5" t="inlineStr">
        <is>
          <t>中度</t>
        </is>
      </c>
      <c r="P26" s="5" t="inlineStr">
        <is>
          <t>否</t>
        </is>
      </c>
    </row>
    <row r="27">
      <c r="A27" s="5" t="inlineStr">
        <is>
          <t>26</t>
        </is>
      </c>
      <c r="B27" s="5" t="inlineStr">
        <is>
          <t>SAMPLE-EV-0102</t>
        </is>
      </c>
      <c r="C27" s="5" t="inlineStr">
        <is>
          <t>SAMPLE-ORDER-3588</t>
        </is>
      </c>
      <c r="D27" s="5" t="inlineStr">
        <is>
          <t>US</t>
        </is>
      </c>
      <c r="E27" s="5" t="inlineStr">
        <is>
          <t>大号款-2.5mm</t>
        </is>
      </c>
      <c r="F27" s="5" t="inlineStr">
        <is>
          <t>2026-03</t>
        </is>
      </c>
      <c r="G27" s="5" t="inlineStr">
        <is>
          <t>NOT_AS_DESCRIBED</t>
        </is>
      </c>
      <c r="H27" s="5" t="inlineStr">
        <is>
          <t>too wide, visible from the front, embarrassing in meetings</t>
        </is>
      </c>
      <c r="I27" s="5" t="inlineStr">
        <is>
          <t>高度与贴合</t>
        </is>
      </c>
      <c r="J27" s="5" t="inlineStr">
        <is>
          <t>宽度与覆盖:偏宽</t>
        </is>
      </c>
      <c r="K27" s="5" t="inlineStr"/>
      <c r="L27" s="5" t="inlineStr"/>
      <c r="M27" s="5" t="inlineStr">
        <is>
          <t>外观体面度</t>
        </is>
      </c>
      <c r="N27" s="5" t="inlineStr">
        <is>
          <t>产品的事</t>
        </is>
      </c>
      <c r="O27" s="5" t="inlineStr">
        <is>
          <t>严重</t>
        </is>
      </c>
      <c r="P27" s="5" t="inlineStr">
        <is>
          <t>否</t>
        </is>
      </c>
    </row>
    <row r="28">
      <c r="A28" s="5" t="inlineStr">
        <is>
          <t>27</t>
        </is>
      </c>
      <c r="B28" s="5" t="inlineStr">
        <is>
          <t>SAMPLE-EV-0105</t>
        </is>
      </c>
      <c r="C28" s="5" t="inlineStr">
        <is>
          <t>SAMPLE-ORDER-9682</t>
        </is>
      </c>
      <c r="D28" s="5" t="inlineStr">
        <is>
          <t>US</t>
        </is>
      </c>
      <c r="E28" s="5" t="inlineStr">
        <is>
          <t>标准款-2.5mm</t>
        </is>
      </c>
      <c r="F28" s="5" t="inlineStr">
        <is>
          <t>2026-05</t>
        </is>
      </c>
      <c r="G28" s="5" t="inlineStr">
        <is>
          <t>NOT_AS_DESCRIBED</t>
        </is>
      </c>
      <c r="H28" s="5" t="inlineStr">
        <is>
          <t>Says 2 pairs. Got 3 single pads, not even 2 full pairs</t>
        </is>
      </c>
      <c r="I28" s="5" t="inlineStr">
        <is>
          <t>非产品因素</t>
        </is>
      </c>
      <c r="J28" s="5" t="inlineStr">
        <is>
          <t>发货准确</t>
        </is>
      </c>
      <c r="K28" s="5" t="inlineStr"/>
      <c r="L28" s="5" t="inlineStr"/>
      <c r="M28" s="5" t="inlineStr">
        <is>
          <t>收货第一印象</t>
        </is>
      </c>
      <c r="N28" s="5" t="inlineStr">
        <is>
          <t>其他</t>
        </is>
      </c>
      <c r="O28" s="5" t="inlineStr">
        <is>
          <t>中度</t>
        </is>
      </c>
      <c r="P28" s="5" t="inlineStr">
        <is>
          <t>否</t>
        </is>
      </c>
    </row>
    <row r="29">
      <c r="A29" s="5" t="inlineStr">
        <is>
          <t>28</t>
        </is>
      </c>
      <c r="B29" s="5" t="inlineStr">
        <is>
          <t>SAMPLE-EV-0110</t>
        </is>
      </c>
      <c r="C29" s="5" t="inlineStr">
        <is>
          <t>SAMPLE-ORDER-9962</t>
        </is>
      </c>
      <c r="D29" s="5" t="inlineStr">
        <is>
          <t>US</t>
        </is>
      </c>
      <c r="E29" s="5" t="inlineStr">
        <is>
          <t>标准款-1.8mm</t>
        </is>
      </c>
      <c r="F29" s="5" t="inlineStr">
        <is>
          <t>2026-02</t>
        </is>
      </c>
      <c r="G29" s="5" t="inlineStr">
        <is>
          <t>DEFECTIVE</t>
        </is>
      </c>
      <c r="H29" s="5" t="inlineStr">
        <is>
          <t>glue fails when I sweat, pads slide around on the frame</t>
        </is>
      </c>
      <c r="I29" s="5" t="inlineStr">
        <is>
          <t>防滑与固定</t>
        </is>
      </c>
      <c r="J29" s="5" t="inlineStr">
        <is>
          <t>出汗时防滑</t>
        </is>
      </c>
      <c r="K29" s="5" t="inlineStr"/>
      <c r="L29" s="5" t="inlineStr">
        <is>
          <t>运动出汗</t>
        </is>
      </c>
      <c r="M29" s="5" t="inlineStr"/>
      <c r="N29" s="5" t="inlineStr">
        <is>
          <t>产品的事</t>
        </is>
      </c>
      <c r="O29" s="5" t="inlineStr">
        <is>
          <t>严重</t>
        </is>
      </c>
      <c r="P29" s="5" t="inlineStr">
        <is>
          <t>否</t>
        </is>
      </c>
    </row>
    <row r="30">
      <c r="A30" s="5" t="inlineStr">
        <is>
          <t>29</t>
        </is>
      </c>
      <c r="B30" s="5" t="inlineStr">
        <is>
          <t>SAMPLE-EV-0114</t>
        </is>
      </c>
      <c r="C30" s="5" t="inlineStr">
        <is>
          <t>SAMPLE-ORDER-6013</t>
        </is>
      </c>
      <c r="D30" s="5" t="inlineStr">
        <is>
          <t>US</t>
        </is>
      </c>
      <c r="E30" s="5" t="inlineStr">
        <is>
          <t>大号款-1.8mm</t>
        </is>
      </c>
      <c r="F30" s="5" t="inlineStr">
        <is>
          <t>2026-08</t>
        </is>
      </c>
      <c r="G30" s="5" t="inlineStr">
        <is>
          <t>NOT_AS_DESCRIBED</t>
        </is>
      </c>
      <c r="H30" s="5" t="inlineStr">
        <is>
          <t>not tall enough for a flat nose bridge</t>
        </is>
      </c>
      <c r="I30" s="5" t="inlineStr">
        <is>
          <t>高度与贴合</t>
        </is>
      </c>
      <c r="J30" s="5" t="inlineStr">
        <is>
          <t>整体高度:偏矮</t>
        </is>
      </c>
      <c r="K30" s="5" t="inlineStr"/>
      <c r="L30" s="5" t="inlineStr"/>
      <c r="M30" s="5" t="inlineStr"/>
      <c r="N30" s="5" t="inlineStr">
        <is>
          <t>说不清</t>
        </is>
      </c>
      <c r="O30" s="5" t="inlineStr">
        <is>
          <t>中度</t>
        </is>
      </c>
      <c r="P30" s="5" t="inlineStr">
        <is>
          <t>否</t>
        </is>
      </c>
    </row>
    <row r="31">
      <c r="A31" s="5" t="inlineStr">
        <is>
          <t>30</t>
        </is>
      </c>
      <c r="B31" s="5" t="inlineStr">
        <is>
          <t>SAMPLE-EV-0117</t>
        </is>
      </c>
      <c r="C31" s="5" t="inlineStr">
        <is>
          <t>SAMPLE-ORDER-1111</t>
        </is>
      </c>
      <c r="D31" s="5" t="inlineStr">
        <is>
          <t>US</t>
        </is>
      </c>
      <c r="E31" s="5" t="inlineStr">
        <is>
          <t>标准款-2.5mm</t>
        </is>
      </c>
      <c r="F31" s="5" t="inlineStr">
        <is>
          <t>2026-07</t>
        </is>
      </c>
      <c r="G31" s="5" t="inlineStr">
        <is>
          <t>NOT_COMPATIBLE</t>
        </is>
      </c>
      <c r="H31" s="5" t="inlineStr">
        <is>
          <t>changes the camera angle, every video is aimed too high</t>
        </is>
      </c>
      <c r="I31" s="5" t="inlineStr">
        <is>
          <t>兼容与收纳</t>
        </is>
      </c>
      <c r="J31" s="5" t="inlineStr">
        <is>
          <t>摄像头视角</t>
        </is>
      </c>
      <c r="K31" s="5" t="inlineStr"/>
      <c r="L31" s="5" t="inlineStr"/>
      <c r="M31" s="5" t="inlineStr"/>
      <c r="N31" s="5" t="inlineStr">
        <is>
          <t>产品的事</t>
        </is>
      </c>
      <c r="O31" s="5" t="inlineStr">
        <is>
          <t>中度</t>
        </is>
      </c>
      <c r="P31" s="5" t="inlineStr">
        <is>
          <t>否</t>
        </is>
      </c>
    </row>
    <row r="32">
      <c r="A32" s="5" t="inlineStr">
        <is>
          <t>31</t>
        </is>
      </c>
      <c r="B32" s="5" t="inlineStr">
        <is>
          <t>SAMPLE-EV-0125</t>
        </is>
      </c>
      <c r="C32" s="5" t="inlineStr">
        <is>
          <t>SAMPLE-ORDER-5757</t>
        </is>
      </c>
      <c r="D32" s="5" t="inlineStr">
        <is>
          <t>US</t>
        </is>
      </c>
      <c r="E32" s="5" t="inlineStr">
        <is>
          <t>标准款-1.8mm</t>
        </is>
      </c>
      <c r="F32" s="5" t="inlineStr">
        <is>
          <t>2026-08</t>
        </is>
      </c>
      <c r="G32" s="5" t="inlineStr">
        <is>
          <t>DEFECTIVE</t>
        </is>
      </c>
      <c r="H32" s="5" t="inlineStr">
        <is>
          <t>not enough lift, lashes still hit the lens</t>
        </is>
      </c>
      <c r="I32" s="5" t="inlineStr">
        <is>
          <t>高度与贴合</t>
        </is>
      </c>
      <c r="J32" s="5" t="inlineStr">
        <is>
          <t>整体高度:偏矮</t>
        </is>
      </c>
      <c r="K32" s="5" t="inlineStr"/>
      <c r="L32" s="5" t="inlineStr"/>
      <c r="M32" s="5" t="inlineStr"/>
      <c r="N32" s="5" t="inlineStr">
        <is>
          <t>说不清</t>
        </is>
      </c>
      <c r="O32" s="5" t="inlineStr">
        <is>
          <t>中度</t>
        </is>
      </c>
      <c r="P32" s="5" t="inlineStr">
        <is>
          <t>否</t>
        </is>
      </c>
    </row>
    <row r="33">
      <c r="A33" s="5" t="inlineStr">
        <is>
          <t>32</t>
        </is>
      </c>
      <c r="B33" s="5" t="inlineStr">
        <is>
          <t>SAMPLE-EV-0129</t>
        </is>
      </c>
      <c r="C33" s="5" t="inlineStr">
        <is>
          <t>SAMPLE-ORDER-0675</t>
        </is>
      </c>
      <c r="D33" s="5" t="inlineStr">
        <is>
          <t>US</t>
        </is>
      </c>
      <c r="E33" s="5" t="inlineStr">
        <is>
          <t>标准款-1.8mm</t>
        </is>
      </c>
      <c r="F33" s="5" t="inlineStr">
        <is>
          <t>2026-07</t>
        </is>
      </c>
      <c r="G33" s="5" t="inlineStr">
        <is>
          <t>NOT_AS_DESCRIBED</t>
        </is>
      </c>
      <c r="H33" s="5" t="inlineStr">
        <is>
          <t>listing says 2 pairs, only 1 pair in the bag</t>
        </is>
      </c>
      <c r="I33" s="5" t="inlineStr">
        <is>
          <t>非产品因素</t>
        </is>
      </c>
      <c r="J33" s="5" t="inlineStr">
        <is>
          <t>发货准确</t>
        </is>
      </c>
      <c r="K33" s="5" t="inlineStr"/>
      <c r="L33" s="5" t="inlineStr"/>
      <c r="M33" s="5" t="inlineStr">
        <is>
          <t>收货第一印象</t>
        </is>
      </c>
      <c r="N33" s="5" t="inlineStr">
        <is>
          <t>其他</t>
        </is>
      </c>
      <c r="O33" s="5" t="inlineStr">
        <is>
          <t>中度</t>
        </is>
      </c>
      <c r="P33" s="5" t="inlineStr">
        <is>
          <t>否</t>
        </is>
      </c>
    </row>
    <row r="34">
      <c r="A34" s="5" t="inlineStr">
        <is>
          <t>33</t>
        </is>
      </c>
      <c r="B34" s="5" t="inlineStr">
        <is>
          <t>SAMPLE-EV-0130</t>
        </is>
      </c>
      <c r="C34" s="5" t="inlineStr">
        <is>
          <t>SAMPLE-ORDER-8566</t>
        </is>
      </c>
      <c r="D34" s="5" t="inlineStr">
        <is>
          <t>US</t>
        </is>
      </c>
      <c r="E34" s="5" t="inlineStr">
        <is>
          <t>标准款-1.8mm</t>
        </is>
      </c>
      <c r="F34" s="5" t="inlineStr">
        <is>
          <t>2026-07</t>
        </is>
      </c>
      <c r="G34" s="5" t="inlineStr">
        <is>
          <t>ORDERED_WRONG_ITEM</t>
        </is>
      </c>
      <c r="H34" s="5" t="inlineStr">
        <is>
          <t>need thicker. Will order the 2.5</t>
        </is>
      </c>
      <c r="I34" s="5" t="inlineStr">
        <is>
          <t>高度与贴合</t>
        </is>
      </c>
      <c r="J34" s="5" t="inlineStr">
        <is>
          <t>整体高度:偏矮</t>
        </is>
      </c>
      <c r="K34" s="5" t="inlineStr">
        <is>
          <t>计划换档</t>
        </is>
      </c>
      <c r="L34" s="5" t="inlineStr"/>
      <c r="M34" s="5" t="inlineStr"/>
      <c r="N34" s="5" t="inlineStr">
        <is>
          <t>说不清</t>
        </is>
      </c>
      <c r="O34" s="5" t="inlineStr">
        <is>
          <t>轻度</t>
        </is>
      </c>
      <c r="P34" s="5" t="inlineStr">
        <is>
          <t>是</t>
        </is>
      </c>
    </row>
    <row r="35">
      <c r="A35" s="5" t="inlineStr">
        <is>
          <t>34</t>
        </is>
      </c>
      <c r="B35" s="5" t="inlineStr">
        <is>
          <t>SAMPLE-EV-0131</t>
        </is>
      </c>
      <c r="C35" s="5" t="inlineStr">
        <is>
          <t>SAMPLE-ORDER-5078</t>
        </is>
      </c>
      <c r="D35" s="5" t="inlineStr">
        <is>
          <t>US</t>
        </is>
      </c>
      <c r="E35" s="5" t="inlineStr">
        <is>
          <t>标准款-1.8mm</t>
        </is>
      </c>
      <c r="F35" s="5" t="inlineStr">
        <is>
          <t>2026-06</t>
        </is>
      </c>
      <c r="G35" s="5" t="inlineStr">
        <is>
          <t>DEFECTIVE</t>
        </is>
      </c>
      <c r="H35" s="5" t="inlineStr">
        <is>
          <t>adhesive gave out the first time I wore them, one pad is gone</t>
        </is>
      </c>
      <c r="I35" s="5" t="inlineStr">
        <is>
          <t>防滑与固定</t>
        </is>
      </c>
      <c r="J35" s="5" t="inlineStr">
        <is>
          <t>背胶牢固度</t>
        </is>
      </c>
      <c r="K35" s="5" t="inlineStr"/>
      <c r="L35" s="5" t="inlineStr">
        <is>
          <t>第一次用就出问题</t>
        </is>
      </c>
      <c r="M35" s="5" t="inlineStr"/>
      <c r="N35" s="5" t="inlineStr">
        <is>
          <t>产品的事</t>
        </is>
      </c>
      <c r="O35" s="5" t="inlineStr">
        <is>
          <t>严重</t>
        </is>
      </c>
      <c r="P35" s="5" t="inlineStr">
        <is>
          <t>否</t>
        </is>
      </c>
    </row>
    <row r="36">
      <c r="A36" s="5" t="inlineStr">
        <is>
          <t>35</t>
        </is>
      </c>
      <c r="B36" s="5" t="inlineStr">
        <is>
          <t>SAMPLE-EV-0135</t>
        </is>
      </c>
      <c r="C36" s="5" t="inlineStr">
        <is>
          <t>SAMPLE-ORDER-1756</t>
        </is>
      </c>
      <c r="D36" s="5" t="inlineStr">
        <is>
          <t>US</t>
        </is>
      </c>
      <c r="E36" s="5" t="inlineStr">
        <is>
          <t>标准款-2.5mm</t>
        </is>
      </c>
      <c r="F36" s="5" t="inlineStr">
        <is>
          <t>2026-07</t>
        </is>
      </c>
      <c r="G36" s="5" t="inlineStr">
        <is>
          <t>NOT_AS_DESCRIBED</t>
        </is>
      </c>
      <c r="H36" s="5" t="inlineStr">
        <is>
          <t>Listing said low nose bridge should pick 2.5mm. I did. Way too tall, frames float above my eyebrows</t>
        </is>
      </c>
      <c r="I36" s="5" t="inlineStr">
        <is>
          <t>高度与贴合</t>
        </is>
      </c>
      <c r="J36" s="5" t="inlineStr">
        <is>
          <t>整体高度:偏高; 选档指引</t>
        </is>
      </c>
      <c r="K36" s="5" t="inlineStr">
        <is>
          <t>照页面指引选的</t>
        </is>
      </c>
      <c r="L36" s="5" t="inlineStr"/>
      <c r="M36" s="5" t="inlineStr">
        <is>
          <t>外观体面度</t>
        </is>
      </c>
      <c r="N36" s="5" t="inlineStr">
        <is>
          <t>页面的事</t>
        </is>
      </c>
      <c r="O36" s="5" t="inlineStr">
        <is>
          <t>中度</t>
        </is>
      </c>
      <c r="P36" s="5" t="inlineStr">
        <is>
          <t>否</t>
        </is>
      </c>
    </row>
    <row r="37">
      <c r="A37" s="5" t="inlineStr">
        <is>
          <t>36</t>
        </is>
      </c>
      <c r="B37" s="5" t="inlineStr">
        <is>
          <t>SAMPLE-EV-0136</t>
        </is>
      </c>
      <c r="C37" s="5" t="inlineStr">
        <is>
          <t>SAMPLE-ORDER-2480</t>
        </is>
      </c>
      <c r="D37" s="5" t="inlineStr">
        <is>
          <t>US</t>
        </is>
      </c>
      <c r="E37" s="5" t="inlineStr">
        <is>
          <t>标准款-1.8mm</t>
        </is>
      </c>
      <c r="F37" s="5" t="inlineStr">
        <is>
          <t>2026-02</t>
        </is>
      </c>
      <c r="G37" s="5" t="inlineStr">
        <is>
          <t>NOT_AS_DESCRIBED</t>
        </is>
      </c>
      <c r="H37" s="5" t="inlineStr">
        <is>
          <t>even the thin one raises the glasses too much for me</t>
        </is>
      </c>
      <c r="I37" s="5" t="inlineStr">
        <is>
          <t>高度与贴合</t>
        </is>
      </c>
      <c r="J37" s="5" t="inlineStr">
        <is>
          <t>整体高度:偏高</t>
        </is>
      </c>
      <c r="K37" s="5" t="inlineStr"/>
      <c r="L37" s="5" t="inlineStr"/>
      <c r="M37" s="5" t="inlineStr"/>
      <c r="N37" s="5" t="inlineStr">
        <is>
          <t>说不清</t>
        </is>
      </c>
      <c r="O37" s="5" t="inlineStr">
        <is>
          <t>中度</t>
        </is>
      </c>
      <c r="P37" s="5" t="inlineStr">
        <is>
          <t>否</t>
        </is>
      </c>
    </row>
    <row r="38">
      <c r="A38" s="5" t="inlineStr">
        <is>
          <t>37</t>
        </is>
      </c>
      <c r="B38" s="5" t="inlineStr">
        <is>
          <t>SAMPLE-EV-0145</t>
        </is>
      </c>
      <c r="C38" s="5" t="inlineStr">
        <is>
          <t>SAMPLE-ORDER-7573</t>
        </is>
      </c>
      <c r="D38" s="5" t="inlineStr">
        <is>
          <t>US</t>
        </is>
      </c>
      <c r="E38" s="5" t="inlineStr">
        <is>
          <t>标准款-1.8mm</t>
        </is>
      </c>
      <c r="F38" s="5" t="inlineStr">
        <is>
          <t>2026-01</t>
        </is>
      </c>
      <c r="G38" s="5" t="inlineStr">
        <is>
          <t>NOT_AS_DESCRIBED</t>
        </is>
      </c>
      <c r="H38" s="5" t="inlineStr">
        <is>
          <t>thought these were screw in replacement nose pads. These are just stickers</t>
        </is>
      </c>
      <c r="I38" s="5" t="inlineStr">
        <is>
          <t>综合质量</t>
        </is>
      </c>
      <c r="J38" s="5" t="inlineStr">
        <is>
          <t>贴片式形态(这一款特有); 与预期(泛指)</t>
        </is>
      </c>
      <c r="K38" s="5" t="inlineStr"/>
      <c r="L38" s="5" t="inlineStr"/>
      <c r="M38" s="5" t="inlineStr"/>
      <c r="N38" s="5" t="inlineStr">
        <is>
          <t>不该买这款</t>
        </is>
      </c>
      <c r="O38" s="5" t="inlineStr">
        <is>
          <t>中度</t>
        </is>
      </c>
      <c r="P38" s="5" t="inlineStr">
        <is>
          <t>否</t>
        </is>
      </c>
    </row>
    <row r="39">
      <c r="A39" s="5" t="inlineStr">
        <is>
          <t>38</t>
        </is>
      </c>
      <c r="B39" s="5" t="inlineStr">
        <is>
          <t>SAMPLE-EV-0148</t>
        </is>
      </c>
      <c r="C39" s="5" t="inlineStr">
        <is>
          <t>SAMPLE-ORDER-9167</t>
        </is>
      </c>
      <c r="D39" s="5" t="inlineStr">
        <is>
          <t>US</t>
        </is>
      </c>
      <c r="E39" s="5" t="inlineStr">
        <is>
          <t>标准款-2.5mm</t>
        </is>
      </c>
      <c r="F39" s="5" t="inlineStr">
        <is>
          <t>2026-05</t>
        </is>
      </c>
      <c r="G39" s="5" t="inlineStr">
        <is>
          <t>DEFECTIVE</t>
        </is>
      </c>
      <c r="H39" s="5" t="inlineStr">
        <is>
          <t>lifts the frame so much the camera now points at the ceiling</t>
        </is>
      </c>
      <c r="I39" s="5" t="inlineStr">
        <is>
          <t>高度与贴合</t>
        </is>
      </c>
      <c r="J39" s="5" t="inlineStr">
        <is>
          <t>整体高度:偏高; 摄像头视角</t>
        </is>
      </c>
      <c r="K39" s="5" t="inlineStr"/>
      <c r="L39" s="5" t="inlineStr"/>
      <c r="M39" s="5" t="inlineStr"/>
      <c r="N39" s="5" t="inlineStr">
        <is>
          <t>产品的事</t>
        </is>
      </c>
      <c r="O39" s="5" t="inlineStr">
        <is>
          <t>中度</t>
        </is>
      </c>
      <c r="P39" s="5" t="inlineStr">
        <is>
          <t>否</t>
        </is>
      </c>
    </row>
    <row r="40">
      <c r="A40" s="5" t="inlineStr">
        <is>
          <t>39</t>
        </is>
      </c>
      <c r="B40" s="5" t="inlineStr">
        <is>
          <t>SAMPLE-EV-0150</t>
        </is>
      </c>
      <c r="C40" s="5" t="inlineStr">
        <is>
          <t>SAMPLE-ORDER-1547</t>
        </is>
      </c>
      <c r="D40" s="5" t="inlineStr">
        <is>
          <t>US</t>
        </is>
      </c>
      <c r="E40" s="5" t="inlineStr">
        <is>
          <t>标准款-1.8mm</t>
        </is>
      </c>
      <c r="F40" s="5" t="inlineStr">
        <is>
          <t>2026-08</t>
        </is>
      </c>
      <c r="G40" s="5" t="inlineStr">
        <is>
          <t>NOT_COMPATIBLE</t>
        </is>
      </c>
      <c r="H40" s="5" t="inlineStr">
        <is>
          <t>I have the large frame and bought standard. My mistake, reordering the large version</t>
        </is>
      </c>
      <c r="I40" s="5" t="inlineStr">
        <is>
          <t>兼容与收纳</t>
        </is>
      </c>
      <c r="J40" s="5" t="inlineStr">
        <is>
          <t>机型适配</t>
        </is>
      </c>
      <c r="K40" s="5" t="inlineStr">
        <is>
          <t>已换档复购</t>
        </is>
      </c>
      <c r="L40" s="5" t="inlineStr"/>
      <c r="M40" s="5" t="inlineStr"/>
      <c r="N40" s="5" t="inlineStr">
        <is>
          <t>客户自己选错</t>
        </is>
      </c>
      <c r="O40" s="5" t="inlineStr">
        <is>
          <t>轻度</t>
        </is>
      </c>
      <c r="P40" s="5" t="inlineStr">
        <is>
          <t>是</t>
        </is>
      </c>
    </row>
    <row r="41">
      <c r="A41" s="5" t="inlineStr">
        <is>
          <t>40</t>
        </is>
      </c>
      <c r="B41" s="5" t="inlineStr">
        <is>
          <t>SAMPLE-EV-0157</t>
        </is>
      </c>
      <c r="C41" s="5" t="inlineStr">
        <is>
          <t>SAMPLE-ORDER-1905</t>
        </is>
      </c>
      <c r="D41" s="5" t="inlineStr">
        <is>
          <t>US</t>
        </is>
      </c>
      <c r="E41" s="5" t="inlineStr">
        <is>
          <t>标准款-1.8mm</t>
        </is>
      </c>
      <c r="F41" s="5" t="inlineStr">
        <is>
          <t>2026-03</t>
        </is>
      </c>
      <c r="G41" s="5" t="inlineStr">
        <is>
          <t>NOT_AS_DESCRIBED</t>
        </is>
      </c>
      <c r="H41" s="5" t="inlineStr">
        <is>
          <t>1.8mm barely makes a difference, glasses still rest on my cheeks</t>
        </is>
      </c>
      <c r="I41" s="5" t="inlineStr">
        <is>
          <t>高度与贴合</t>
        </is>
      </c>
      <c r="J41" s="5" t="inlineStr">
        <is>
          <t>整体高度:偏矮</t>
        </is>
      </c>
      <c r="K41" s="5" t="inlineStr"/>
      <c r="L41" s="5" t="inlineStr"/>
      <c r="M41" s="5" t="inlineStr"/>
      <c r="N41" s="5" t="inlineStr">
        <is>
          <t>说不清</t>
        </is>
      </c>
      <c r="O41" s="5" t="inlineStr">
        <is>
          <t>中度</t>
        </is>
      </c>
      <c r="P41" s="5" t="inlineStr">
        <is>
          <t>否</t>
        </is>
      </c>
    </row>
    <row r="42">
      <c r="A42" s="5" t="inlineStr">
        <is>
          <t>41</t>
        </is>
      </c>
      <c r="B42" s="5" t="inlineStr">
        <is>
          <t>SAMPLE-EV-0159</t>
        </is>
      </c>
      <c r="C42" s="5" t="inlineStr">
        <is>
          <t>SAMPLE-ORDER-6316</t>
        </is>
      </c>
      <c r="D42" s="5" t="inlineStr">
        <is>
          <t>US</t>
        </is>
      </c>
      <c r="E42" s="5" t="inlineStr">
        <is>
          <t>大号款-2.5mm</t>
        </is>
      </c>
      <c r="F42" s="5" t="inlineStr">
        <is>
          <t>2026-02</t>
        </is>
      </c>
      <c r="G42" s="5" t="inlineStr">
        <is>
          <t>NOT_COMPATIBLE</t>
        </is>
      </c>
      <c r="H42" s="5" t="inlineStr">
        <is>
          <t>wrong model for my glasses, ordered the other one</t>
        </is>
      </c>
      <c r="I42" s="5" t="inlineStr">
        <is>
          <t>兼容与收纳</t>
        </is>
      </c>
      <c r="J42" s="5" t="inlineStr">
        <is>
          <t>机型适配</t>
        </is>
      </c>
      <c r="K42" s="5" t="inlineStr">
        <is>
          <t>已换档复购</t>
        </is>
      </c>
      <c r="L42" s="5" t="inlineStr"/>
      <c r="M42" s="5" t="inlineStr"/>
      <c r="N42" s="5" t="inlineStr">
        <is>
          <t>说不清</t>
        </is>
      </c>
      <c r="O42" s="5" t="inlineStr">
        <is>
          <t>轻度</t>
        </is>
      </c>
      <c r="P42" s="5" t="inlineStr">
        <is>
          <t>是</t>
        </is>
      </c>
    </row>
    <row r="43">
      <c r="A43" s="5" t="inlineStr">
        <is>
          <t>42</t>
        </is>
      </c>
      <c r="B43" s="5" t="inlineStr">
        <is>
          <t>SAMPLE-EV-0161</t>
        </is>
      </c>
      <c r="C43" s="5" t="inlineStr">
        <is>
          <t>SAMPLE-ORDER-4653</t>
        </is>
      </c>
      <c r="D43" s="5" t="inlineStr">
        <is>
          <t>US</t>
        </is>
      </c>
      <c r="E43" s="5" t="inlineStr">
        <is>
          <t>标准款-2.5mm</t>
        </is>
      </c>
      <c r="F43" s="5" t="inlineStr">
        <is>
          <t>2026-03</t>
        </is>
      </c>
      <c r="G43" s="5" t="inlineStr">
        <is>
          <t>NOT_COMPATIBLE</t>
        </is>
      </c>
      <c r="H43" s="5" t="inlineStr">
        <is>
          <t>fits in the case but does not charge, the contacts don't touch</t>
        </is>
      </c>
      <c r="I43" s="5" t="inlineStr">
        <is>
          <t>兼容与收纳</t>
        </is>
      </c>
      <c r="J43" s="5" t="inlineStr">
        <is>
          <t>装上后充电</t>
        </is>
      </c>
      <c r="K43" s="5" t="inlineStr"/>
      <c r="L43" s="5" t="inlineStr">
        <is>
          <t>放回充电盒时</t>
        </is>
      </c>
      <c r="M43" s="5" t="inlineStr"/>
      <c r="N43" s="5" t="inlineStr">
        <is>
          <t>产品的事</t>
        </is>
      </c>
      <c r="O43" s="5" t="inlineStr">
        <is>
          <t>中度</t>
        </is>
      </c>
      <c r="P43" s="5" t="inlineStr">
        <is>
          <t>否</t>
        </is>
      </c>
    </row>
    <row r="44">
      <c r="A44" s="5" t="inlineStr">
        <is>
          <t>43</t>
        </is>
      </c>
      <c r="B44" s="5" t="inlineStr">
        <is>
          <t>SAMPLE-EV-0162</t>
        </is>
      </c>
      <c r="C44" s="5" t="inlineStr">
        <is>
          <t>SAMPLE-ORDER-1892</t>
        </is>
      </c>
      <c r="D44" s="5" t="inlineStr">
        <is>
          <t>US</t>
        </is>
      </c>
      <c r="E44" s="5" t="inlineStr">
        <is>
          <t>标准款-1.8mm</t>
        </is>
      </c>
      <c r="F44" s="5" t="inlineStr">
        <is>
          <t>2026-02</t>
        </is>
      </c>
      <c r="G44" s="5" t="inlineStr">
        <is>
          <t>DEFECTIVE</t>
        </is>
      </c>
      <c r="H44" s="5" t="inlineStr">
        <is>
          <t>Does not raise the glasses enough. Still sliding by lunch</t>
        </is>
      </c>
      <c r="I44" s="5" t="inlineStr">
        <is>
          <t>高度与贴合</t>
        </is>
      </c>
      <c r="J44" s="5" t="inlineStr">
        <is>
          <t>整体高度:偏矮; 防滑效果(泛指)</t>
        </is>
      </c>
      <c r="K44" s="5" t="inlineStr"/>
      <c r="L44" s="5" t="inlineStr">
        <is>
          <t>全天佩戴</t>
        </is>
      </c>
      <c r="M44" s="5" t="inlineStr"/>
      <c r="N44" s="5" t="inlineStr">
        <is>
          <t>产品的事</t>
        </is>
      </c>
      <c r="O44" s="5" t="inlineStr">
        <is>
          <t>中度</t>
        </is>
      </c>
      <c r="P44" s="5" t="inlineStr">
        <is>
          <t>否</t>
        </is>
      </c>
    </row>
    <row r="45">
      <c r="A45" s="5" t="inlineStr">
        <is>
          <t>44</t>
        </is>
      </c>
      <c r="B45" s="5" t="inlineStr">
        <is>
          <t>SAMPLE-EV-0168</t>
        </is>
      </c>
      <c r="C45" s="5" t="inlineStr">
        <is>
          <t>SAMPLE-ORDER-4469</t>
        </is>
      </c>
      <c r="D45" s="5" t="inlineStr">
        <is>
          <t>US</t>
        </is>
      </c>
      <c r="E45" s="5" t="inlineStr">
        <is>
          <t>大号款-1.8mm</t>
        </is>
      </c>
      <c r="F45" s="5" t="inlineStr">
        <is>
          <t>2026-05</t>
        </is>
      </c>
      <c r="G45" s="5" t="inlineStr">
        <is>
          <t>QUALITY_UNACCEPTABLE</t>
        </is>
      </c>
      <c r="H45" s="5" t="inlineStr">
        <is>
          <t>rough edge on one pad, scratches my skin</t>
        </is>
      </c>
      <c r="I45" s="5" t="inlineStr">
        <is>
          <t>材质与做工</t>
        </is>
      </c>
      <c r="J45" s="5" t="inlineStr">
        <is>
          <t>边缘做工</t>
        </is>
      </c>
      <c r="K45" s="5" t="inlineStr"/>
      <c r="L45" s="5" t="inlineStr"/>
      <c r="M45" s="5" t="inlineStr">
        <is>
          <t>佩戴舒适度</t>
        </is>
      </c>
      <c r="N45" s="5" t="inlineStr">
        <is>
          <t>产品的事</t>
        </is>
      </c>
      <c r="O45" s="5" t="inlineStr">
        <is>
          <t>中度</t>
        </is>
      </c>
      <c r="P45" s="5" t="inlineStr">
        <is>
          <t>否</t>
        </is>
      </c>
    </row>
    <row r="46">
      <c r="A46" s="5" t="inlineStr">
        <is>
          <t>45</t>
        </is>
      </c>
      <c r="B46" s="5" t="inlineStr">
        <is>
          <t>SAMPLE-EV-0175</t>
        </is>
      </c>
      <c r="C46" s="5" t="inlineStr">
        <is>
          <t>SAMPLE-ORDER-0055</t>
        </is>
      </c>
      <c r="D46" s="5" t="inlineStr">
        <is>
          <t>DE</t>
        </is>
      </c>
      <c r="E46" s="5" t="inlineStr">
        <is>
          <t>标准款-2.5mm</t>
        </is>
      </c>
      <c r="F46" s="5" t="inlineStr">
        <is>
          <t>2026-01</t>
        </is>
      </c>
      <c r="G46" s="5" t="inlineStr">
        <is>
          <t>DEFECTIVE</t>
        </is>
      </c>
      <c r="H46" s="5" t="inlineStr">
        <is>
          <t>Hält nicht, der Kleber löst sich nach zwei Tagen</t>
        </is>
      </c>
      <c r="I46" s="5" t="inlineStr">
        <is>
          <t>防滑与固定</t>
        </is>
      </c>
      <c r="J46" s="5" t="inlineStr">
        <is>
          <t>背胶牢固度</t>
        </is>
      </c>
      <c r="K46" s="5" t="inlineStr"/>
      <c r="L46" s="5" t="inlineStr"/>
      <c r="M46" s="5" t="inlineStr"/>
      <c r="N46" s="5" t="inlineStr">
        <is>
          <t>产品的事</t>
        </is>
      </c>
      <c r="O46" s="5" t="inlineStr">
        <is>
          <t>中度</t>
        </is>
      </c>
      <c r="P46" s="5" t="inlineStr">
        <is>
          <t>否</t>
        </is>
      </c>
    </row>
    <row r="47">
      <c r="A47" s="5" t="inlineStr">
        <is>
          <t>46</t>
        </is>
      </c>
      <c r="B47" s="5" t="inlineStr">
        <is>
          <t>SAMPLE-EV-0176</t>
        </is>
      </c>
      <c r="C47" s="5" t="inlineStr">
        <is>
          <t>SAMPLE-ORDER-3742</t>
        </is>
      </c>
      <c r="D47" s="5" t="inlineStr">
        <is>
          <t>US</t>
        </is>
      </c>
      <c r="E47" s="5" t="inlineStr">
        <is>
          <t>标准款-2.5mm</t>
        </is>
      </c>
      <c r="F47" s="5" t="inlineStr">
        <is>
          <t>2026-07</t>
        </is>
      </c>
      <c r="G47" s="5" t="inlineStr">
        <is>
          <t>NOT_AS_DESCRIBED</t>
        </is>
      </c>
      <c r="H47" s="5" t="inlineStr">
        <is>
          <t>too thick for my nose, glasses ride up high</t>
        </is>
      </c>
      <c r="I47" s="5" t="inlineStr">
        <is>
          <t>高度与贴合</t>
        </is>
      </c>
      <c r="J47" s="5" t="inlineStr">
        <is>
          <t>整体高度:偏高</t>
        </is>
      </c>
      <c r="K47" s="5" t="inlineStr"/>
      <c r="L47" s="5" t="inlineStr"/>
      <c r="M47" s="5" t="inlineStr"/>
      <c r="N47" s="5" t="inlineStr">
        <is>
          <t>说不清</t>
        </is>
      </c>
      <c r="O47" s="5" t="inlineStr">
        <is>
          <t>中度</t>
        </is>
      </c>
      <c r="P47" s="5" t="inlineStr">
        <is>
          <t>否</t>
        </is>
      </c>
    </row>
    <row r="48">
      <c r="A48" s="5" t="inlineStr">
        <is>
          <t>47</t>
        </is>
      </c>
      <c r="B48" s="5" t="inlineStr">
        <is>
          <t>SAMPLE-EV-0179</t>
        </is>
      </c>
      <c r="C48" s="5" t="inlineStr">
        <is>
          <t>SAMPLE-ORDER-5065</t>
        </is>
      </c>
      <c r="D48" s="5" t="inlineStr">
        <is>
          <t>US</t>
        </is>
      </c>
      <c r="E48" s="5" t="inlineStr">
        <is>
          <t>标准款-1.8mm</t>
        </is>
      </c>
      <c r="F48" s="5" t="inlineStr">
        <is>
          <t>2026-07</t>
        </is>
      </c>
      <c r="G48" s="5" t="inlineStr">
        <is>
          <t>ORDERED_WRONG_ITEM</t>
        </is>
      </c>
      <c r="H48" s="5" t="inlineStr">
        <is>
          <t>should have ordered the thicker ones, that is on me. Reordered</t>
        </is>
      </c>
      <c r="I48" s="5" t="inlineStr">
        <is>
          <t>高度与贴合</t>
        </is>
      </c>
      <c r="J48" s="5" t="inlineStr">
        <is>
          <t>整体高度:偏矮</t>
        </is>
      </c>
      <c r="K48" s="5" t="inlineStr">
        <is>
          <t>已换档复购</t>
        </is>
      </c>
      <c r="L48" s="5" t="inlineStr"/>
      <c r="M48" s="5" t="inlineStr"/>
      <c r="N48" s="5" t="inlineStr">
        <is>
          <t>客户自己选错</t>
        </is>
      </c>
      <c r="O48" s="5" t="inlineStr">
        <is>
          <t>轻度</t>
        </is>
      </c>
      <c r="P48" s="5" t="inlineStr">
        <is>
          <t>是</t>
        </is>
      </c>
    </row>
    <row r="49">
      <c r="A49" s="5" t="inlineStr">
        <is>
          <t>48</t>
        </is>
      </c>
      <c r="B49" s="5" t="inlineStr">
        <is>
          <t>SAMPLE-EV-0180</t>
        </is>
      </c>
      <c r="C49" s="5" t="inlineStr">
        <is>
          <t>SAMPLE-ORDER-5124</t>
        </is>
      </c>
      <c r="D49" s="5" t="inlineStr">
        <is>
          <t>US</t>
        </is>
      </c>
      <c r="E49" s="5" t="inlineStr">
        <is>
          <t>标准款-2.5mm</t>
        </is>
      </c>
      <c r="F49" s="5" t="inlineStr">
        <is>
          <t>2026-07</t>
        </is>
      </c>
      <c r="G49" s="5" t="inlineStr">
        <is>
          <t>NOT_COMPATIBLE</t>
        </is>
      </c>
      <c r="H49" s="5" t="inlineStr">
        <is>
          <t>with pads on, glasses won't seat in the charging case</t>
        </is>
      </c>
      <c r="I49" s="5" t="inlineStr">
        <is>
          <t>兼容与收纳</t>
        </is>
      </c>
      <c r="J49" s="5" t="inlineStr">
        <is>
          <t>充电盒收纳</t>
        </is>
      </c>
      <c r="K49" s="5" t="inlineStr"/>
      <c r="L49" s="5" t="inlineStr">
        <is>
          <t>放回充电盒时</t>
        </is>
      </c>
      <c r="M49" s="5" t="inlineStr"/>
      <c r="N49" s="5" t="inlineStr">
        <is>
          <t>产品的事</t>
        </is>
      </c>
      <c r="O49" s="5" t="inlineStr">
        <is>
          <t>中度</t>
        </is>
      </c>
      <c r="P49" s="5" t="inlineStr">
        <is>
          <t>否</t>
        </is>
      </c>
    </row>
    <row r="50">
      <c r="A50" s="5" t="inlineStr">
        <is>
          <t>49</t>
        </is>
      </c>
      <c r="B50" s="5" t="inlineStr">
        <is>
          <t>SAMPLE-EV-0181</t>
        </is>
      </c>
      <c r="C50" s="5" t="inlineStr">
        <is>
          <t>SAMPLE-ORDER-6291</t>
        </is>
      </c>
      <c r="D50" s="5" t="inlineStr">
        <is>
          <t>US</t>
        </is>
      </c>
      <c r="E50" s="5" t="inlineStr">
        <is>
          <t>标准款-2.5mm</t>
        </is>
      </c>
      <c r="F50" s="5" t="inlineStr">
        <is>
          <t>2026-05</t>
        </is>
      </c>
      <c r="G50" s="5" t="inlineStr">
        <is>
          <t>DEFECTIVE</t>
        </is>
      </c>
      <c r="H50" s="5" t="inlineStr">
        <is>
          <t>slides</t>
        </is>
      </c>
      <c r="I50" s="5" t="inlineStr">
        <is>
          <t>防滑与固定</t>
        </is>
      </c>
      <c r="J50" s="5" t="inlineStr">
        <is>
          <t>防滑效果(泛指)</t>
        </is>
      </c>
      <c r="K50" s="5" t="inlineStr"/>
      <c r="L50" s="5" t="inlineStr"/>
      <c r="M50" s="5" t="inlineStr"/>
      <c r="N50" s="5" t="inlineStr">
        <is>
          <t>产品的事</t>
        </is>
      </c>
      <c r="O50" s="5" t="inlineStr">
        <is>
          <t>严重</t>
        </is>
      </c>
      <c r="P50" s="5" t="inlineStr">
        <is>
          <t>否</t>
        </is>
      </c>
    </row>
    <row r="51">
      <c r="A51" s="5" t="inlineStr">
        <is>
          <t>50</t>
        </is>
      </c>
      <c r="B51" s="5" t="inlineStr">
        <is>
          <t>SAMPLE-EV-0182</t>
        </is>
      </c>
      <c r="C51" s="5" t="inlineStr">
        <is>
          <t>SAMPLE-ORDER-2968</t>
        </is>
      </c>
      <c r="D51" s="5" t="inlineStr">
        <is>
          <t>US</t>
        </is>
      </c>
      <c r="E51" s="5" t="inlineStr">
        <is>
          <t>标准款-2.5mm</t>
        </is>
      </c>
      <c r="F51" s="5" t="inlineStr">
        <is>
          <t>2026-02</t>
        </is>
      </c>
      <c r="G51" s="5" t="inlineStr">
        <is>
          <t>NOT_AS_DESCRIBED</t>
        </is>
      </c>
      <c r="H51" s="5" t="inlineStr">
        <is>
          <t>I wanted something to stop the arms slipping behind my ears. This only does the nose</t>
        </is>
      </c>
      <c r="I51" s="5" t="inlineStr">
        <is>
          <t>综合质量</t>
        </is>
      </c>
      <c r="J51" s="5" t="inlineStr">
        <is>
          <t>与预期(泛指)</t>
        </is>
      </c>
      <c r="K51" s="5" t="inlineStr"/>
      <c r="L51" s="5" t="inlineStr"/>
      <c r="M51" s="5" t="inlineStr"/>
      <c r="N51" s="5" t="inlineStr">
        <is>
          <t>不该买这款</t>
        </is>
      </c>
      <c r="O51" s="5" t="inlineStr">
        <is>
          <t>中度</t>
        </is>
      </c>
      <c r="P51" s="5" t="inlineStr">
        <is>
          <t>否</t>
        </is>
      </c>
    </row>
    <row r="52">
      <c r="A52" s="5" t="inlineStr">
        <is>
          <t>51</t>
        </is>
      </c>
      <c r="B52" s="5" t="inlineStr">
        <is>
          <t>SAMPLE-EV-0183</t>
        </is>
      </c>
      <c r="C52" s="5" t="inlineStr">
        <is>
          <t>SAMPLE-ORDER-2535</t>
        </is>
      </c>
      <c r="D52" s="5" t="inlineStr">
        <is>
          <t>US</t>
        </is>
      </c>
      <c r="E52" s="5" t="inlineStr">
        <is>
          <t>大号款-1.8mm</t>
        </is>
      </c>
      <c r="F52" s="5" t="inlineStr">
        <is>
          <t>2026-05</t>
        </is>
      </c>
      <c r="G52" s="5" t="inlineStr">
        <is>
          <t>ORDERED_WRONG_ITEM</t>
        </is>
      </c>
      <c r="H52" s="5" t="inlineStr">
        <is>
          <t>I picked the thin one, my fault, exchanging for the thicker set</t>
        </is>
      </c>
      <c r="I52" s="5" t="inlineStr">
        <is>
          <t>高度与贴合</t>
        </is>
      </c>
      <c r="J52" s="5" t="inlineStr">
        <is>
          <t>整体高度:偏矮</t>
        </is>
      </c>
      <c r="K52" s="5" t="inlineStr">
        <is>
          <t>计划换档</t>
        </is>
      </c>
      <c r="L52" s="5" t="inlineStr"/>
      <c r="M52" s="5" t="inlineStr"/>
      <c r="N52" s="5" t="inlineStr">
        <is>
          <t>客户自己选错</t>
        </is>
      </c>
      <c r="O52" s="5" t="inlineStr">
        <is>
          <t>轻度</t>
        </is>
      </c>
      <c r="P52" s="5" t="inlineStr">
        <is>
          <t>是</t>
        </is>
      </c>
    </row>
    <row r="53">
      <c r="A53" s="5" t="inlineStr">
        <is>
          <t>52</t>
        </is>
      </c>
      <c r="B53" s="5" t="inlineStr">
        <is>
          <t>SAMPLE-EV-0185</t>
        </is>
      </c>
      <c r="C53" s="5" t="inlineStr">
        <is>
          <t>SAMPLE-ORDER-6893</t>
        </is>
      </c>
      <c r="D53" s="5" t="inlineStr">
        <is>
          <t>US</t>
        </is>
      </c>
      <c r="E53" s="5" t="inlineStr">
        <is>
          <t>标准款-2.5mm</t>
        </is>
      </c>
      <c r="F53" s="5" t="inlineStr">
        <is>
          <t>2026-02</t>
        </is>
      </c>
      <c r="G53" s="5" t="inlineStr">
        <is>
          <t>QUALITY_UNACCEPTABLE</t>
        </is>
      </c>
      <c r="H53" s="5" t="inlineStr">
        <is>
          <t>Too wide. Had to trim with scissors which defeats the purpose</t>
        </is>
      </c>
      <c r="I53" s="5" t="inlineStr">
        <is>
          <t>高度与贴合</t>
        </is>
      </c>
      <c r="J53" s="5" t="inlineStr">
        <is>
          <t>宽度与覆盖:偏宽</t>
        </is>
      </c>
      <c r="K53" s="5" t="inlineStr"/>
      <c r="L53" s="5" t="inlineStr"/>
      <c r="M53" s="5" t="inlineStr"/>
      <c r="N53" s="5" t="inlineStr">
        <is>
          <t>产品的事</t>
        </is>
      </c>
      <c r="O53" s="5" t="inlineStr">
        <is>
          <t>中度</t>
        </is>
      </c>
      <c r="P53" s="5" t="inlineStr">
        <is>
          <t>否</t>
        </is>
      </c>
    </row>
    <row r="54">
      <c r="A54" s="5" t="inlineStr">
        <is>
          <t>53</t>
        </is>
      </c>
      <c r="B54" s="5" t="inlineStr">
        <is>
          <t>SAMPLE-EV-0186</t>
        </is>
      </c>
      <c r="C54" s="5" t="inlineStr">
        <is>
          <t>SAMPLE-ORDER-3562</t>
        </is>
      </c>
      <c r="D54" s="5" t="inlineStr">
        <is>
          <t>US</t>
        </is>
      </c>
      <c r="E54" s="5" t="inlineStr">
        <is>
          <t>大号款-2.5mm</t>
        </is>
      </c>
      <c r="F54" s="5" t="inlineStr">
        <is>
          <t>2026-06</t>
        </is>
      </c>
      <c r="G54" s="5" t="inlineStr">
        <is>
          <t>MISORDERED</t>
        </is>
      </c>
      <c r="H54" s="5" t="inlineStr">
        <is>
          <t>ordered 2.5 by mistake, will replace with 1.8</t>
        </is>
      </c>
      <c r="I54" s="5" t="inlineStr">
        <is>
          <t>高度与贴合</t>
        </is>
      </c>
      <c r="J54" s="5" t="inlineStr">
        <is>
          <t>合适度(没说方向)</t>
        </is>
      </c>
      <c r="K54" s="5" t="inlineStr">
        <is>
          <t>计划换档</t>
        </is>
      </c>
      <c r="L54" s="5" t="inlineStr"/>
      <c r="M54" s="5" t="inlineStr"/>
      <c r="N54" s="5" t="inlineStr">
        <is>
          <t>客户自己选错</t>
        </is>
      </c>
      <c r="O54" s="5" t="inlineStr">
        <is>
          <t>轻度</t>
        </is>
      </c>
      <c r="P54" s="5" t="inlineStr">
        <is>
          <t>是</t>
        </is>
      </c>
    </row>
    <row r="55">
      <c r="A55" s="5" t="inlineStr">
        <is>
          <t>54</t>
        </is>
      </c>
      <c r="B55" s="5" t="inlineStr">
        <is>
          <t>SAMPLE-EV-0191</t>
        </is>
      </c>
      <c r="C55" s="5" t="inlineStr">
        <is>
          <t>SAMPLE-ORDER-7105</t>
        </is>
      </c>
      <c r="D55" s="5" t="inlineStr">
        <is>
          <t>US</t>
        </is>
      </c>
      <c r="E55" s="5" t="inlineStr">
        <is>
          <t>标准款-2.5mm</t>
        </is>
      </c>
      <c r="F55" s="5" t="inlineStr">
        <is>
          <t>2026-03</t>
        </is>
      </c>
      <c r="G55" s="5" t="inlineStr">
        <is>
          <t>NOT_AS_DESCRIBED</t>
        </is>
      </c>
      <c r="H55" s="5" t="inlineStr">
        <is>
          <t>missing the alcohol wipe and the placement guide shown in the photos</t>
        </is>
      </c>
      <c r="I55" s="5" t="inlineStr">
        <is>
          <t>非产品因素</t>
        </is>
      </c>
      <c r="J55" s="5" t="inlineStr">
        <is>
          <t>发货准确</t>
        </is>
      </c>
      <c r="K55" s="5" t="inlineStr"/>
      <c r="L55" s="5" t="inlineStr"/>
      <c r="M55" s="5" t="inlineStr">
        <is>
          <t>收货第一印象</t>
        </is>
      </c>
      <c r="N55" s="5" t="inlineStr">
        <is>
          <t>页面的事</t>
        </is>
      </c>
      <c r="O55" s="5" t="inlineStr">
        <is>
          <t>中度</t>
        </is>
      </c>
      <c r="P55" s="5" t="inlineStr">
        <is>
          <t>否</t>
        </is>
      </c>
    </row>
    <row r="56">
      <c r="A56" s="5" t="inlineStr">
        <is>
          <t>55</t>
        </is>
      </c>
      <c r="B56" s="5" t="inlineStr">
        <is>
          <t>SAMPLE-EV-0195</t>
        </is>
      </c>
      <c r="C56" s="5" t="inlineStr">
        <is>
          <t>SAMPLE-ORDER-7881</t>
        </is>
      </c>
      <c r="D56" s="5" t="inlineStr">
        <is>
          <t>US</t>
        </is>
      </c>
      <c r="E56" s="5" t="inlineStr">
        <is>
          <t>大号款-2.5mm</t>
        </is>
      </c>
      <c r="F56" s="5" t="inlineStr">
        <is>
          <t>2026-01</t>
        </is>
      </c>
      <c r="G56" s="5" t="inlineStr">
        <is>
          <t>NOT_COMPATIBLE</t>
        </is>
      </c>
      <c r="H56" s="5" t="inlineStr">
        <is>
          <t>case will not close with these installed</t>
        </is>
      </c>
      <c r="I56" s="5" t="inlineStr">
        <is>
          <t>兼容与收纳</t>
        </is>
      </c>
      <c r="J56" s="5" t="inlineStr">
        <is>
          <t>充电盒收纳</t>
        </is>
      </c>
      <c r="K56" s="5" t="inlineStr"/>
      <c r="L56" s="5" t="inlineStr">
        <is>
          <t>放回充电盒时</t>
        </is>
      </c>
      <c r="M56" s="5" t="inlineStr"/>
      <c r="N56" s="5" t="inlineStr">
        <is>
          <t>产品的事</t>
        </is>
      </c>
      <c r="O56" s="5" t="inlineStr">
        <is>
          <t>中度</t>
        </is>
      </c>
      <c r="P56" s="5" t="inlineStr">
        <is>
          <t>否</t>
        </is>
      </c>
    </row>
    <row r="57">
      <c r="A57" s="5" t="inlineStr">
        <is>
          <t>56</t>
        </is>
      </c>
      <c r="B57" s="5" t="inlineStr">
        <is>
          <t>SAMPLE-EV-0197</t>
        </is>
      </c>
      <c r="C57" s="5" t="inlineStr">
        <is>
          <t>SAMPLE-ORDER-2583</t>
        </is>
      </c>
      <c r="D57" s="5" t="inlineStr">
        <is>
          <t>US</t>
        </is>
      </c>
      <c r="E57" s="5" t="inlineStr">
        <is>
          <t>大号款-2.5mm</t>
        </is>
      </c>
      <c r="F57" s="5" t="inlineStr">
        <is>
          <t>2026-02</t>
        </is>
      </c>
      <c r="G57" s="5" t="inlineStr">
        <is>
          <t>NOT_AS_DESCRIBED</t>
        </is>
      </c>
      <c r="H57" s="5" t="inlineStr">
        <is>
          <t>expected a full nose bridge replacement, not stick on pads</t>
        </is>
      </c>
      <c r="I57" s="5" t="inlineStr">
        <is>
          <t>综合质量</t>
        </is>
      </c>
      <c r="J57" s="5" t="inlineStr">
        <is>
          <t>贴片式形态(这一款特有); 与预期(泛指)</t>
        </is>
      </c>
      <c r="K57" s="5" t="inlineStr"/>
      <c r="L57" s="5" t="inlineStr"/>
      <c r="M57" s="5" t="inlineStr"/>
      <c r="N57" s="5" t="inlineStr">
        <is>
          <t>不该买这款</t>
        </is>
      </c>
      <c r="O57" s="5" t="inlineStr">
        <is>
          <t>中度</t>
        </is>
      </c>
      <c r="P57" s="5" t="inlineStr">
        <is>
          <t>否</t>
        </is>
      </c>
    </row>
    <row r="58">
      <c r="A58" s="5" t="inlineStr">
        <is>
          <t>57</t>
        </is>
      </c>
      <c r="B58" s="5" t="inlineStr">
        <is>
          <t>SAMPLE-EV-0198</t>
        </is>
      </c>
      <c r="C58" s="5" t="inlineStr">
        <is>
          <t>SAMPLE-ORDER-1124</t>
        </is>
      </c>
      <c r="D58" s="5" t="inlineStr">
        <is>
          <t>US</t>
        </is>
      </c>
      <c r="E58" s="5" t="inlineStr">
        <is>
          <t>大号款-2.5mm</t>
        </is>
      </c>
      <c r="F58" s="5" t="inlineStr">
        <is>
          <t>2026-01</t>
        </is>
      </c>
      <c r="G58" s="5" t="inlineStr">
        <is>
          <t>NOT_COMPATIBLE</t>
        </is>
      </c>
      <c r="H58" s="5" t="inlineStr">
        <is>
          <t>ordered the large frame version, package label says standard</t>
        </is>
      </c>
      <c r="I58" s="5" t="inlineStr">
        <is>
          <t>非产品因素</t>
        </is>
      </c>
      <c r="J58" s="5" t="inlineStr">
        <is>
          <t>发货准确</t>
        </is>
      </c>
      <c r="K58" s="5" t="inlineStr"/>
      <c r="L58" s="5" t="inlineStr"/>
      <c r="M58" s="5" t="inlineStr"/>
      <c r="N58" s="5" t="inlineStr">
        <is>
          <t>其他</t>
        </is>
      </c>
      <c r="O58" s="5" t="inlineStr">
        <is>
          <t>中度</t>
        </is>
      </c>
      <c r="P58" s="5" t="inlineStr">
        <is>
          <t>否</t>
        </is>
      </c>
    </row>
    <row r="59">
      <c r="A59" s="5" t="inlineStr">
        <is>
          <t>58</t>
        </is>
      </c>
      <c r="B59" s="5" t="inlineStr">
        <is>
          <t>SAMPLE-EV-0200</t>
        </is>
      </c>
      <c r="C59" s="5" t="inlineStr">
        <is>
          <t>SAMPLE-ORDER-3633</t>
        </is>
      </c>
      <c r="D59" s="5" t="inlineStr">
        <is>
          <t>US</t>
        </is>
      </c>
      <c r="E59" s="5" t="inlineStr">
        <is>
          <t>大号款-2.5mm</t>
        </is>
      </c>
      <c r="F59" s="5" t="inlineStr">
        <is>
          <t>2026-05</t>
        </is>
      </c>
      <c r="G59" s="5" t="inlineStr">
        <is>
          <t>DEFECTIVE</t>
        </is>
      </c>
      <c r="H59" s="5" t="inlineStr">
        <is>
          <t>sits too tall, bottom of the lens is above my eye line</t>
        </is>
      </c>
      <c r="I59" s="5" t="inlineStr">
        <is>
          <t>高度与贴合</t>
        </is>
      </c>
      <c r="J59" s="5" t="inlineStr">
        <is>
          <t>整体高度:偏高</t>
        </is>
      </c>
      <c r="K59" s="5" t="inlineStr"/>
      <c r="L59" s="5" t="inlineStr"/>
      <c r="M59" s="5" t="inlineStr"/>
      <c r="N59" s="5" t="inlineStr">
        <is>
          <t>说不清</t>
        </is>
      </c>
      <c r="O59" s="5" t="inlineStr">
        <is>
          <t>中度</t>
        </is>
      </c>
      <c r="P59" s="5" t="inlineStr">
        <is>
          <t>否</t>
        </is>
      </c>
    </row>
    <row r="60">
      <c r="A60" s="5" t="inlineStr">
        <is>
          <t>59</t>
        </is>
      </c>
      <c r="B60" s="5" t="inlineStr">
        <is>
          <t>SAMPLE-EV-0204</t>
        </is>
      </c>
      <c r="C60" s="5" t="inlineStr">
        <is>
          <t>SAMPLE-ORDER-0307</t>
        </is>
      </c>
      <c r="D60" s="5" t="inlineStr">
        <is>
          <t>US</t>
        </is>
      </c>
      <c r="E60" s="5" t="inlineStr">
        <is>
          <t>标准款-2.5mm</t>
        </is>
      </c>
      <c r="F60" s="5" t="inlineStr">
        <is>
          <t>2026-07</t>
        </is>
      </c>
      <c r="G60" s="5" t="inlineStr">
        <is>
          <t>NOT_AS_DESCRIBED</t>
        </is>
      </c>
      <c r="H60" s="5" t="inlineStr">
        <is>
          <t>not what I expected</t>
        </is>
      </c>
      <c r="I60" s="5" t="inlineStr">
        <is>
          <t>综合质量</t>
        </is>
      </c>
      <c r="J60" s="5" t="inlineStr">
        <is>
          <t>与预期(泛指)</t>
        </is>
      </c>
      <c r="K60" s="5" t="inlineStr"/>
      <c r="L60" s="5" t="inlineStr"/>
      <c r="M60" s="5" t="inlineStr"/>
      <c r="N60" s="5" t="inlineStr">
        <is>
          <t>说不清</t>
        </is>
      </c>
      <c r="O60" s="5" t="inlineStr">
        <is>
          <t>轻度</t>
        </is>
      </c>
      <c r="P60" s="5" t="inlineStr">
        <is>
          <t>否</t>
        </is>
      </c>
    </row>
    <row r="61">
      <c r="A61" s="5" t="inlineStr">
        <is>
          <t>60</t>
        </is>
      </c>
      <c r="B61" s="5" t="inlineStr">
        <is>
          <t>SAMPLE-EV-0210</t>
        </is>
      </c>
      <c r="C61" s="5" t="inlineStr">
        <is>
          <t>SAMPLE-ORDER-8858</t>
        </is>
      </c>
      <c r="D61" s="5" t="inlineStr">
        <is>
          <t>US</t>
        </is>
      </c>
      <c r="E61" s="5" t="inlineStr">
        <is>
          <t>大号款-2.5mm</t>
        </is>
      </c>
      <c r="F61" s="5" t="inlineStr">
        <is>
          <t>2026-07</t>
        </is>
      </c>
      <c r="G61" s="5" t="inlineStr">
        <is>
          <t>NOT_AS_DESCRIBED</t>
        </is>
      </c>
      <c r="H61" s="5" t="inlineStr">
        <is>
          <t>Wider than the built in pad. Looks like I taped something to my glasses</t>
        </is>
      </c>
      <c r="I61" s="5" t="inlineStr">
        <is>
          <t>高度与贴合</t>
        </is>
      </c>
      <c r="J61" s="5" t="inlineStr">
        <is>
          <t>宽度与覆盖:偏宽</t>
        </is>
      </c>
      <c r="K61" s="5" t="inlineStr">
        <is>
          <t>原装鼻托</t>
        </is>
      </c>
      <c r="L61" s="5" t="inlineStr"/>
      <c r="M61" s="5" t="inlineStr">
        <is>
          <t>外观体面度</t>
        </is>
      </c>
      <c r="N61" s="5" t="inlineStr">
        <is>
          <t>产品的事</t>
        </is>
      </c>
      <c r="O61" s="5" t="inlineStr">
        <is>
          <t>中度</t>
        </is>
      </c>
      <c r="P61" s="5" t="inlineStr">
        <is>
          <t>否</t>
        </is>
      </c>
    </row>
    <row r="62">
      <c r="A62" s="5" t="inlineStr">
        <is>
          <t>61</t>
        </is>
      </c>
      <c r="B62" s="5" t="inlineStr">
        <is>
          <t>SAMPLE-EV-0212</t>
        </is>
      </c>
      <c r="C62" s="5" t="inlineStr">
        <is>
          <t>SAMPLE-ORDER-4873</t>
        </is>
      </c>
      <c r="D62" s="5" t="inlineStr">
        <is>
          <t>US</t>
        </is>
      </c>
      <c r="E62" s="5" t="inlineStr">
        <is>
          <t>标准款-2.5mm</t>
        </is>
      </c>
      <c r="F62" s="5" t="inlineStr">
        <is>
          <t>2026-06</t>
        </is>
      </c>
      <c r="G62" s="5" t="inlineStr">
        <is>
          <t>NOT_AS_DESCRIBED</t>
        </is>
      </c>
      <c r="H62" s="5" t="inlineStr">
        <is>
          <t>only the 1.8 fits the case. The 2.5 doesn't. Nowhere on the page does it say that</t>
        </is>
      </c>
      <c r="I62" s="5" t="inlineStr">
        <is>
          <t>兼容与收纳</t>
        </is>
      </c>
      <c r="J62" s="5" t="inlineStr">
        <is>
          <t>充电盒收纳; 兼容宣称兑现度</t>
        </is>
      </c>
      <c r="K62" s="5" t="inlineStr"/>
      <c r="L62" s="5" t="inlineStr">
        <is>
          <t>放回充电盒时</t>
        </is>
      </c>
      <c r="M62" s="5" t="inlineStr"/>
      <c r="N62" s="5" t="inlineStr">
        <is>
          <t>页面的事</t>
        </is>
      </c>
      <c r="O62" s="5" t="inlineStr">
        <is>
          <t>中度</t>
        </is>
      </c>
      <c r="P62" s="5" t="inlineStr">
        <is>
          <t>否</t>
        </is>
      </c>
    </row>
    <row r="63">
      <c r="A63" s="5" t="inlineStr">
        <is>
          <t>62</t>
        </is>
      </c>
      <c r="B63" s="5" t="inlineStr">
        <is>
          <t>SAMPLE-EV-0213</t>
        </is>
      </c>
      <c r="C63" s="5" t="inlineStr">
        <is>
          <t>SAMPLE-ORDER-4268</t>
        </is>
      </c>
      <c r="D63" s="5" t="inlineStr">
        <is>
          <t>US</t>
        </is>
      </c>
      <c r="E63" s="5" t="inlineStr">
        <is>
          <t>大号款-1.8mm</t>
        </is>
      </c>
      <c r="F63" s="5" t="inlineStr">
        <is>
          <t>2026-03</t>
        </is>
      </c>
      <c r="G63" s="5" t="inlineStr">
        <is>
          <t>DEFECTIVE</t>
        </is>
      </c>
      <c r="H63" s="5" t="inlineStr">
        <is>
          <t>too thin to help, frame still touches my cheeks when I smile</t>
        </is>
      </c>
      <c r="I63" s="5" t="inlineStr">
        <is>
          <t>高度与贴合</t>
        </is>
      </c>
      <c r="J63" s="5" t="inlineStr">
        <is>
          <t>整体高度:偏矮</t>
        </is>
      </c>
      <c r="K63" s="5" t="inlineStr"/>
      <c r="L63" s="5" t="inlineStr"/>
      <c r="M63" s="5" t="inlineStr"/>
      <c r="N63" s="5" t="inlineStr">
        <is>
          <t>说不清</t>
        </is>
      </c>
      <c r="O63" s="5" t="inlineStr">
        <is>
          <t>中度</t>
        </is>
      </c>
      <c r="P63" s="5" t="inlineStr">
        <is>
          <t>否</t>
        </is>
      </c>
    </row>
    <row r="64">
      <c r="A64" s="5" t="inlineStr">
        <is>
          <t>63</t>
        </is>
      </c>
      <c r="B64" s="5" t="inlineStr">
        <is>
          <t>SAMPLE-EV-0214</t>
        </is>
      </c>
      <c r="C64" s="5" t="inlineStr">
        <is>
          <t>SAMPLE-ORDER-6856</t>
        </is>
      </c>
      <c r="D64" s="5" t="inlineStr">
        <is>
          <t>US</t>
        </is>
      </c>
      <c r="E64" s="5" t="inlineStr">
        <is>
          <t>标准款-1.8mm</t>
        </is>
      </c>
      <c r="F64" s="5" t="inlineStr">
        <is>
          <t>2026-07</t>
        </is>
      </c>
      <c r="G64" s="5" t="inlineStr">
        <is>
          <t>QUALITY_UNACCEPTABLE</t>
        </is>
      </c>
      <c r="H64" s="5" t="inlineStr">
        <is>
          <t>too thin</t>
        </is>
      </c>
      <c r="I64" s="5" t="inlineStr">
        <is>
          <t>高度与贴合</t>
        </is>
      </c>
      <c r="J64" s="5" t="inlineStr">
        <is>
          <t>整体高度:偏矮</t>
        </is>
      </c>
      <c r="K64" s="5" t="inlineStr"/>
      <c r="L64" s="5" t="inlineStr"/>
      <c r="M64" s="5" t="inlineStr"/>
      <c r="N64" s="5" t="inlineStr">
        <is>
          <t>说不清</t>
        </is>
      </c>
      <c r="O64" s="5" t="inlineStr">
        <is>
          <t>轻度</t>
        </is>
      </c>
      <c r="P64" s="5" t="inlineStr">
        <is>
          <t>否</t>
        </is>
      </c>
    </row>
    <row r="65">
      <c r="A65" s="5" t="inlineStr">
        <is>
          <t>64</t>
        </is>
      </c>
      <c r="B65" s="5" t="inlineStr">
        <is>
          <t>SAMPLE-EV-0217</t>
        </is>
      </c>
      <c r="C65" s="5" t="inlineStr">
        <is>
          <t>SAMPLE-ORDER-3802</t>
        </is>
      </c>
      <c r="D65" s="5" t="inlineStr">
        <is>
          <t>US</t>
        </is>
      </c>
      <c r="E65" s="5" t="inlineStr">
        <is>
          <t>标准款-2.5mm</t>
        </is>
      </c>
      <c r="F65" s="5" t="inlineStr">
        <is>
          <t>2026-05</t>
        </is>
      </c>
      <c r="G65" s="5" t="inlineStr">
        <is>
          <t>NOT_AS_DESCRIBED</t>
        </is>
      </c>
      <c r="H65" s="5" t="inlineStr">
        <is>
          <t>overhangs the nose pad on both sides, you can see it from the front</t>
        </is>
      </c>
      <c r="I65" s="5" t="inlineStr">
        <is>
          <t>高度与贴合</t>
        </is>
      </c>
      <c r="J65" s="5" t="inlineStr">
        <is>
          <t>宽度与覆盖:偏宽</t>
        </is>
      </c>
      <c r="K65" s="5" t="inlineStr"/>
      <c r="L65" s="5" t="inlineStr"/>
      <c r="M65" s="5" t="inlineStr">
        <is>
          <t>外观体面度</t>
        </is>
      </c>
      <c r="N65" s="5" t="inlineStr">
        <is>
          <t>产品的事</t>
        </is>
      </c>
      <c r="O65" s="5" t="inlineStr">
        <is>
          <t>中度</t>
        </is>
      </c>
      <c r="P65" s="5" t="inlineStr">
        <is>
          <t>否</t>
        </is>
      </c>
    </row>
    <row r="66">
      <c r="A66" s="5" t="inlineStr">
        <is>
          <t>65</t>
        </is>
      </c>
      <c r="B66" s="5" t="inlineStr">
        <is>
          <t>SAMPLE-EV-0218</t>
        </is>
      </c>
      <c r="C66" s="5" t="inlineStr">
        <is>
          <t>SAMPLE-ORDER-1017</t>
        </is>
      </c>
      <c r="D66" s="5" t="inlineStr">
        <is>
          <t>US</t>
        </is>
      </c>
      <c r="E66" s="5" t="inlineStr">
        <is>
          <t>标准款-1.8mm</t>
        </is>
      </c>
      <c r="F66" s="5" t="inlineStr">
        <is>
          <t>2026-07</t>
        </is>
      </c>
      <c r="G66" s="5" t="inlineStr">
        <is>
          <t>QUALITY_UNACCEPTABLE</t>
        </is>
      </c>
      <c r="H66" s="5" t="inlineStr">
        <is>
          <t>left sticky residue on my 300 dollar glasses when I peeled it off. Not happy</t>
        </is>
      </c>
      <c r="I66" s="5" t="inlineStr">
        <is>
          <t>防滑与固定</t>
        </is>
      </c>
      <c r="J66" s="5" t="inlineStr">
        <is>
          <t>撕下后留胶</t>
        </is>
      </c>
      <c r="K66" s="5" t="inlineStr"/>
      <c r="L66" s="5" t="inlineStr"/>
      <c r="M66" s="5" t="inlineStr"/>
      <c r="N66" s="5" t="inlineStr">
        <is>
          <t>产品的事</t>
        </is>
      </c>
      <c r="O66" s="5" t="inlineStr">
        <is>
          <t>严重</t>
        </is>
      </c>
      <c r="P66" s="5" t="inlineStr">
        <is>
          <t>否</t>
        </is>
      </c>
    </row>
    <row r="67">
      <c r="A67" s="5" t="inlineStr">
        <is>
          <t>66</t>
        </is>
      </c>
      <c r="B67" s="5" t="inlineStr">
        <is>
          <t>SAMPLE-EV-0219</t>
        </is>
      </c>
      <c r="C67" s="5" t="inlineStr">
        <is>
          <t>SAMPLE-ORDER-3629</t>
        </is>
      </c>
      <c r="D67" s="5" t="inlineStr">
        <is>
          <t>US</t>
        </is>
      </c>
      <c r="E67" s="5" t="inlineStr">
        <is>
          <t>标准款-2.5mm</t>
        </is>
      </c>
      <c r="F67" s="5" t="inlineStr">
        <is>
          <t>2026-03</t>
        </is>
      </c>
      <c r="G67" s="5" t="inlineStr">
        <is>
          <t>DEFECTIVE</t>
        </is>
      </c>
      <c r="H67" s="5" t="inlineStr">
        <is>
          <t>Fell off on day one and my glasses hit the pavement. Lens is scratched. Ridiculous!</t>
        </is>
      </c>
      <c r="I67" s="5" t="inlineStr">
        <is>
          <t>防滑与固定</t>
        </is>
      </c>
      <c r="J67" s="5" t="inlineStr">
        <is>
          <t>背胶牢固度</t>
        </is>
      </c>
      <c r="K67" s="5" t="inlineStr"/>
      <c r="L67" s="5" t="inlineStr">
        <is>
          <t>第一次用就出问题</t>
        </is>
      </c>
      <c r="M67" s="5" t="inlineStr"/>
      <c r="N67" s="5" t="inlineStr">
        <is>
          <t>产品的事</t>
        </is>
      </c>
      <c r="O67" s="5" t="inlineStr">
        <is>
          <t>严重</t>
        </is>
      </c>
      <c r="P67" s="5" t="inlineStr">
        <is>
          <t>否</t>
        </is>
      </c>
    </row>
    <row r="68">
      <c r="A68" s="5" t="inlineStr">
        <is>
          <t>67</t>
        </is>
      </c>
      <c r="B68" s="5" t="inlineStr">
        <is>
          <t>SAMPLE-EV-0220</t>
        </is>
      </c>
      <c r="C68" s="5" t="inlineStr">
        <is>
          <t>SAMPLE-ORDER-6791</t>
        </is>
      </c>
      <c r="D68" s="5" t="inlineStr">
        <is>
          <t>US</t>
        </is>
      </c>
      <c r="E68" s="5" t="inlineStr">
        <is>
          <t>大号款-1.8mm</t>
        </is>
      </c>
      <c r="F68" s="5" t="inlineStr">
        <is>
          <t>2026-02</t>
        </is>
      </c>
      <c r="G68" s="5" t="inlineStr">
        <is>
          <t>DEFECTIVE</t>
        </is>
      </c>
      <c r="H68" s="5" t="inlineStr">
        <is>
          <t>needs to be thicker, glasses slip when I look down</t>
        </is>
      </c>
      <c r="I68" s="5" t="inlineStr">
        <is>
          <t>高度与贴合</t>
        </is>
      </c>
      <c r="J68" s="5" t="inlineStr">
        <is>
          <t>整体高度:偏矮; 防滑效果(泛指)</t>
        </is>
      </c>
      <c r="K68" s="5" t="inlineStr"/>
      <c r="L68" s="5" t="inlineStr"/>
      <c r="M68" s="5" t="inlineStr"/>
      <c r="N68" s="5" t="inlineStr">
        <is>
          <t>说不清</t>
        </is>
      </c>
      <c r="O68" s="5" t="inlineStr">
        <is>
          <t>中度</t>
        </is>
      </c>
      <c r="P68" s="5" t="inlineStr">
        <is>
          <t>否</t>
        </is>
      </c>
    </row>
    <row r="69">
      <c r="A69" s="5" t="inlineStr">
        <is>
          <t>68</t>
        </is>
      </c>
      <c r="B69" s="5" t="inlineStr">
        <is>
          <t>SAMPLE-EV-0221</t>
        </is>
      </c>
      <c r="C69" s="5" t="inlineStr">
        <is>
          <t>SAMPLE-ORDER-5757</t>
        </is>
      </c>
      <c r="D69" s="5" t="inlineStr">
        <is>
          <t>US</t>
        </is>
      </c>
      <c r="E69" s="5" t="inlineStr">
        <is>
          <t>大号款-2.5mm</t>
        </is>
      </c>
      <c r="F69" s="5" t="inlineStr">
        <is>
          <t>2026-08</t>
        </is>
      </c>
      <c r="G69" s="5" t="inlineStr">
        <is>
          <t>NOT_AS_DESCRIBED</t>
        </is>
      </c>
      <c r="H69" s="5" t="inlineStr">
        <is>
          <t>photo shows glasses in the case with pads on. Mine do not fit in the case at all</t>
        </is>
      </c>
      <c r="I69" s="5" t="inlineStr">
        <is>
          <t>兼容与收纳</t>
        </is>
      </c>
      <c r="J69" s="5" t="inlineStr">
        <is>
          <t>充电盒收纳; 兼容宣称兑现度</t>
        </is>
      </c>
      <c r="K69" s="5" t="inlineStr"/>
      <c r="L69" s="5" t="inlineStr">
        <is>
          <t>放回充电盒时</t>
        </is>
      </c>
      <c r="M69" s="5" t="inlineStr"/>
      <c r="N69" s="5" t="inlineStr">
        <is>
          <t>页面的事</t>
        </is>
      </c>
      <c r="O69" s="5" t="inlineStr">
        <is>
          <t>中度</t>
        </is>
      </c>
      <c r="P69" s="5" t="inlineStr">
        <is>
          <t>否</t>
        </is>
      </c>
    </row>
    <row r="70">
      <c r="A70" s="5" t="inlineStr">
        <is>
          <t>69</t>
        </is>
      </c>
      <c r="B70" s="5" t="inlineStr">
        <is>
          <t>SAMPLE-EV-0223</t>
        </is>
      </c>
      <c r="C70" s="5" t="inlineStr">
        <is>
          <t>SAMPLE-ORDER-4913</t>
        </is>
      </c>
      <c r="D70" s="5" t="inlineStr">
        <is>
          <t>US</t>
        </is>
      </c>
      <c r="E70" s="5" t="inlineStr">
        <is>
          <t>标准款-2.5mm</t>
        </is>
      </c>
      <c r="F70" s="5" t="inlineStr">
        <is>
          <t>2026-05</t>
        </is>
      </c>
      <c r="G70" s="5" t="inlineStr">
        <is>
          <t>DEFECTIVE</t>
        </is>
      </c>
      <c r="H70" s="5" t="inlineStr">
        <is>
          <t>the pads are too wide, they catch dust on the exposed sticky edge</t>
        </is>
      </c>
      <c r="I70" s="5" t="inlineStr">
        <is>
          <t>高度与贴合</t>
        </is>
      </c>
      <c r="J70" s="5" t="inlineStr">
        <is>
          <t>宽度与覆盖:偏宽</t>
        </is>
      </c>
      <c r="K70" s="5" t="inlineStr"/>
      <c r="L70" s="5" t="inlineStr"/>
      <c r="M70" s="5" t="inlineStr"/>
      <c r="N70" s="5" t="inlineStr">
        <is>
          <t>产品的事</t>
        </is>
      </c>
      <c r="O70" s="5" t="inlineStr">
        <is>
          <t>中度</t>
        </is>
      </c>
      <c r="P70" s="5" t="inlineStr">
        <is>
          <t>否</t>
        </is>
      </c>
    </row>
    <row r="71">
      <c r="A71" s="5" t="inlineStr">
        <is>
          <t>70</t>
        </is>
      </c>
      <c r="B71" s="5" t="inlineStr">
        <is>
          <t>SAMPLE-EV-0232</t>
        </is>
      </c>
      <c r="C71" s="5" t="inlineStr">
        <is>
          <t>SAMPLE-ORDER-4312</t>
        </is>
      </c>
      <c r="D71" s="5" t="inlineStr">
        <is>
          <t>US</t>
        </is>
      </c>
      <c r="E71" s="5" t="inlineStr">
        <is>
          <t>大号款-1.8mm</t>
        </is>
      </c>
      <c r="F71" s="5" t="inlineStr">
        <is>
          <t>2026-03</t>
        </is>
      </c>
      <c r="G71" s="5" t="inlineStr">
        <is>
          <t>NOT_AS_DESCRIBED</t>
        </is>
      </c>
      <c r="H71" s="5" t="inlineStr">
        <is>
          <t>pads bigger than the nose rest so the glue edge shows</t>
        </is>
      </c>
      <c r="I71" s="5" t="inlineStr">
        <is>
          <t>高度与贴合</t>
        </is>
      </c>
      <c r="J71" s="5" t="inlineStr">
        <is>
          <t>宽度与覆盖:偏宽</t>
        </is>
      </c>
      <c r="K71" s="5" t="inlineStr"/>
      <c r="L71" s="5" t="inlineStr"/>
      <c r="M71" s="5" t="inlineStr">
        <is>
          <t>外观体面度</t>
        </is>
      </c>
      <c r="N71" s="5" t="inlineStr">
        <is>
          <t>产品的事</t>
        </is>
      </c>
      <c r="O71" s="5" t="inlineStr">
        <is>
          <t>中度</t>
        </is>
      </c>
      <c r="P71" s="5" t="inlineStr">
        <is>
          <t>否</t>
        </is>
      </c>
    </row>
    <row r="72">
      <c r="A72" s="5" t="inlineStr">
        <is>
          <t>71</t>
        </is>
      </c>
      <c r="B72" s="5" t="inlineStr">
        <is>
          <t>SAMPLE-EV-0236</t>
        </is>
      </c>
      <c r="C72" s="5" t="inlineStr">
        <is>
          <t>SAMPLE-ORDER-7438</t>
        </is>
      </c>
      <c r="D72" s="5" t="inlineStr">
        <is>
          <t>US</t>
        </is>
      </c>
      <c r="E72" s="5" t="inlineStr">
        <is>
          <t>标准款-2.5mm</t>
        </is>
      </c>
      <c r="F72" s="5" t="inlineStr">
        <is>
          <t>2026-07</t>
        </is>
      </c>
      <c r="G72" s="5" t="inlineStr">
        <is>
          <t>NOT_AS_DESCRIBED</t>
        </is>
      </c>
      <c r="H72" s="5" t="inlineStr">
        <is>
          <t>bought for my dad, he says it feels weird and refuses to wear them</t>
        </is>
      </c>
      <c r="I72" s="5" t="inlineStr">
        <is>
          <t>综合质量</t>
        </is>
      </c>
      <c r="J72" s="5" t="inlineStr">
        <is>
          <t>与预期(泛指)</t>
        </is>
      </c>
      <c r="K72" s="5" t="inlineStr">
        <is>
          <t>代买(父母)</t>
        </is>
      </c>
      <c r="L72" s="5" t="inlineStr"/>
      <c r="M72" s="5" t="inlineStr">
        <is>
          <t>使用者拒绝佩戴; 佩戴舒适度</t>
        </is>
      </c>
      <c r="N72" s="5" t="inlineStr">
        <is>
          <t>说不清</t>
        </is>
      </c>
      <c r="O72" s="5" t="inlineStr">
        <is>
          <t>中度</t>
        </is>
      </c>
      <c r="P72" s="5" t="inlineStr">
        <is>
          <t>否</t>
        </is>
      </c>
    </row>
    <row r="73">
      <c r="A73" s="5" t="inlineStr">
        <is>
          <t>72</t>
        </is>
      </c>
      <c r="B73" s="5" t="inlineStr">
        <is>
          <t>SAMPLE-EV-0239</t>
        </is>
      </c>
      <c r="C73" s="5" t="inlineStr">
        <is>
          <t>SAMPLE-ORDER-8746</t>
        </is>
      </c>
      <c r="D73" s="5" t="inlineStr">
        <is>
          <t>US</t>
        </is>
      </c>
      <c r="E73" s="5" t="inlineStr">
        <is>
          <t>标准款-2.5mm</t>
        </is>
      </c>
      <c r="F73" s="5" t="inlineStr">
        <is>
          <t>2026-02</t>
        </is>
      </c>
      <c r="G73" s="5" t="inlineStr">
        <is>
          <t>QUALITY_UNACCEPTABLE</t>
        </is>
      </c>
      <c r="H73" s="5" t="inlineStr">
        <is>
          <t>too tall, pushes lenses away from my eyes</t>
        </is>
      </c>
      <c r="I73" s="5" t="inlineStr">
        <is>
          <t>高度与贴合</t>
        </is>
      </c>
      <c r="J73" s="5" t="inlineStr">
        <is>
          <t>整体高度:偏高</t>
        </is>
      </c>
      <c r="K73" s="5" t="inlineStr"/>
      <c r="L73" s="5" t="inlineStr"/>
      <c r="M73" s="5" t="inlineStr"/>
      <c r="N73" s="5" t="inlineStr">
        <is>
          <t>说不清</t>
        </is>
      </c>
      <c r="O73" s="5" t="inlineStr">
        <is>
          <t>中度</t>
        </is>
      </c>
      <c r="P73" s="5" t="inlineStr">
        <is>
          <t>否</t>
        </is>
      </c>
    </row>
    <row r="74">
      <c r="A74" s="5" t="inlineStr">
        <is>
          <t>73</t>
        </is>
      </c>
      <c r="B74" s="5" t="inlineStr">
        <is>
          <t>SAMPLE-EV-0249</t>
        </is>
      </c>
      <c r="C74" s="5" t="inlineStr">
        <is>
          <t>SAMPLE-ORDER-1480</t>
        </is>
      </c>
      <c r="D74" s="5" t="inlineStr">
        <is>
          <t>US</t>
        </is>
      </c>
      <c r="E74" s="5" t="inlineStr">
        <is>
          <t>标准款-2.5mm</t>
        </is>
      </c>
      <c r="F74" s="5" t="inlineStr">
        <is>
          <t>2026-06</t>
        </is>
      </c>
      <c r="G74" s="5" t="inlineStr">
        <is>
          <t>ORDERED_WRONG_ITEM</t>
        </is>
      </c>
      <c r="H74" s="5" t="inlineStr">
        <is>
          <t>My bad, should have gotten the 1.8. Already reordered the thinner ones and they are fine</t>
        </is>
      </c>
      <c r="I74" s="5" t="inlineStr">
        <is>
          <t>高度与贴合</t>
        </is>
      </c>
      <c r="J74" s="5" t="inlineStr">
        <is>
          <t>整体高度:偏高</t>
        </is>
      </c>
      <c r="K74" s="5" t="inlineStr">
        <is>
          <t>已换档复购</t>
        </is>
      </c>
      <c r="L74" s="5" t="inlineStr"/>
      <c r="M74" s="5" t="inlineStr"/>
      <c r="N74" s="5" t="inlineStr">
        <is>
          <t>客户自己选错</t>
        </is>
      </c>
      <c r="O74" s="5" t="inlineStr">
        <is>
          <t>轻度</t>
        </is>
      </c>
      <c r="P74" s="5" t="inlineStr">
        <is>
          <t>是</t>
        </is>
      </c>
    </row>
    <row r="75">
      <c r="A75" s="5" t="inlineStr">
        <is>
          <t>74</t>
        </is>
      </c>
      <c r="B75" s="5" t="inlineStr">
        <is>
          <t>SAMPLE-EV-0253</t>
        </is>
      </c>
      <c r="C75" s="5" t="inlineStr">
        <is>
          <t>SAMPLE-ORDER-5062</t>
        </is>
      </c>
      <c r="D75" s="5" t="inlineStr">
        <is>
          <t>US</t>
        </is>
      </c>
      <c r="E75" s="5" t="inlineStr">
        <is>
          <t>标准款-2.5mm</t>
        </is>
      </c>
      <c r="F75" s="5" t="inlineStr">
        <is>
          <t>2026-01</t>
        </is>
      </c>
      <c r="G75" s="5" t="inlineStr">
        <is>
          <t>NOT_AS_DESCRIBED</t>
        </is>
      </c>
      <c r="H75" s="5" t="inlineStr">
        <is>
          <t>pictured crystal clear, arrived cloudy white. Very visible on black frames</t>
        </is>
      </c>
      <c r="I75" s="5" t="inlineStr">
        <is>
          <t>材质与做工</t>
        </is>
      </c>
      <c r="J75" s="5" t="inlineStr">
        <is>
          <t>颜色与图片一致</t>
        </is>
      </c>
      <c r="K75" s="5" t="inlineStr"/>
      <c r="L75" s="5" t="inlineStr"/>
      <c r="M75" s="5" t="inlineStr">
        <is>
          <t>外观体面度</t>
        </is>
      </c>
      <c r="N75" s="5" t="inlineStr">
        <is>
          <t>页面的事</t>
        </is>
      </c>
      <c r="O75" s="5" t="inlineStr">
        <is>
          <t>中度</t>
        </is>
      </c>
      <c r="P75" s="5" t="inlineStr">
        <is>
          <t>否</t>
        </is>
      </c>
    </row>
    <row r="76">
      <c r="A76" s="5" t="inlineStr">
        <is>
          <t>75</t>
        </is>
      </c>
      <c r="B76" s="5" t="inlineStr">
        <is>
          <t>SAMPLE-EV-0270</t>
        </is>
      </c>
      <c r="C76" s="5" t="inlineStr">
        <is>
          <t>SAMPLE-ORDER-2886</t>
        </is>
      </c>
      <c r="D76" s="5" t="inlineStr">
        <is>
          <t>US</t>
        </is>
      </c>
      <c r="E76" s="5" t="inlineStr">
        <is>
          <t>大号款-2.5mm</t>
        </is>
      </c>
      <c r="F76" s="5" t="inlineStr">
        <is>
          <t>2026-07</t>
        </is>
      </c>
      <c r="G76" s="5" t="inlineStr">
        <is>
          <t>DEFECTIVE</t>
        </is>
      </c>
      <c r="H76" s="5" t="inlineStr">
        <is>
          <t>still slips down my nose in hot weather</t>
        </is>
      </c>
      <c r="I76" s="5" t="inlineStr">
        <is>
          <t>防滑与固定</t>
        </is>
      </c>
      <c r="J76" s="5" t="inlineStr">
        <is>
          <t>出汗时防滑</t>
        </is>
      </c>
      <c r="K76" s="5" t="inlineStr"/>
      <c r="L76" s="5" t="inlineStr"/>
      <c r="M76" s="5" t="inlineStr"/>
      <c r="N76" s="5" t="inlineStr">
        <is>
          <t>产品的事</t>
        </is>
      </c>
      <c r="O76" s="5" t="inlineStr">
        <is>
          <t>严重</t>
        </is>
      </c>
      <c r="P76" s="5" t="inlineStr">
        <is>
          <t>否</t>
        </is>
      </c>
    </row>
    <row r="77">
      <c r="A77" s="5" t="inlineStr">
        <is>
          <t>76</t>
        </is>
      </c>
      <c r="B77" s="5" t="inlineStr">
        <is>
          <t>SAMPLE-EV-0286</t>
        </is>
      </c>
      <c r="C77" s="5" t="inlineStr">
        <is>
          <t>SAMPLE-ORDER-8265</t>
        </is>
      </c>
      <c r="D77" s="5" t="inlineStr">
        <is>
          <t>US</t>
        </is>
      </c>
      <c r="E77" s="5" t="inlineStr">
        <is>
          <t>标准款-1.8mm</t>
        </is>
      </c>
      <c r="F77" s="5" t="inlineStr">
        <is>
          <t>2026-07</t>
        </is>
      </c>
      <c r="G77" s="5" t="inlineStr">
        <is>
          <t>DEFECTIVE</t>
        </is>
      </c>
      <c r="H77" s="5" t="inlineStr">
        <is>
          <t>still slides down, not thick enough</t>
        </is>
      </c>
      <c r="I77" s="5" t="inlineStr">
        <is>
          <t>防滑与固定</t>
        </is>
      </c>
      <c r="J77" s="5" t="inlineStr">
        <is>
          <t>防滑效果(泛指); 整体高度:偏矮</t>
        </is>
      </c>
      <c r="K77" s="5" t="inlineStr"/>
      <c r="L77" s="5" t="inlineStr"/>
      <c r="M77" s="5" t="inlineStr"/>
      <c r="N77" s="5" t="inlineStr">
        <is>
          <t>产品的事</t>
        </is>
      </c>
      <c r="O77" s="5" t="inlineStr">
        <is>
          <t>中度</t>
        </is>
      </c>
      <c r="P77" s="5" t="inlineStr">
        <is>
          <t>否</t>
        </is>
      </c>
    </row>
    <row r="78">
      <c r="A78" s="5" t="inlineStr">
        <is>
          <t>77</t>
        </is>
      </c>
      <c r="B78" s="5" t="inlineStr">
        <is>
          <t>SAMPLE-EV-0291</t>
        </is>
      </c>
      <c r="C78" s="5" t="inlineStr">
        <is>
          <t>SAMPLE-ORDER-5521</t>
        </is>
      </c>
      <c r="D78" s="5" t="inlineStr">
        <is>
          <t>US</t>
        </is>
      </c>
      <c r="E78" s="5" t="inlineStr">
        <is>
          <t>标准款-1.8mm</t>
        </is>
      </c>
      <c r="F78" s="5" t="inlineStr">
        <is>
          <t>2026-06</t>
        </is>
      </c>
      <c r="G78" s="5" t="inlineStr">
        <is>
          <t>MISORDERED</t>
        </is>
      </c>
      <c r="H78" s="5" t="inlineStr">
        <is>
          <t>ordered twice by accident</t>
        </is>
      </c>
      <c r="I78" s="5" t="inlineStr">
        <is>
          <t>非产品因素</t>
        </is>
      </c>
      <c r="J78" s="5" t="inlineStr">
        <is>
          <t>重复下单</t>
        </is>
      </c>
      <c r="K78" s="5" t="inlineStr"/>
      <c r="L78" s="5" t="inlineStr">
        <is>
          <t>重复下单</t>
        </is>
      </c>
      <c r="M78" s="5" t="inlineStr"/>
      <c r="N78" s="5" t="inlineStr">
        <is>
          <t>客户自己选错</t>
        </is>
      </c>
      <c r="O78" s="5" t="inlineStr">
        <is>
          <t>轻度</t>
        </is>
      </c>
      <c r="P78" s="5" t="inlineStr">
        <is>
          <t>否</t>
        </is>
      </c>
    </row>
    <row r="79">
      <c r="A79" s="5" t="inlineStr">
        <is>
          <t>78</t>
        </is>
      </c>
      <c r="B79" s="5" t="inlineStr">
        <is>
          <t>SAMPLE-EV-0294</t>
        </is>
      </c>
      <c r="C79" s="5" t="inlineStr">
        <is>
          <t>SAMPLE-ORDER-5868</t>
        </is>
      </c>
      <c r="D79" s="5" t="inlineStr">
        <is>
          <t>US</t>
        </is>
      </c>
      <c r="E79" s="5" t="inlineStr">
        <is>
          <t>标准款-1.8mm</t>
        </is>
      </c>
      <c r="F79" s="5" t="inlineStr">
        <is>
          <t>2026-06</t>
        </is>
      </c>
      <c r="G79" s="5" t="inlineStr">
        <is>
          <t>ORDERED_WRONG_ITEM</t>
        </is>
      </c>
      <c r="H79" s="5" t="inlineStr">
        <is>
          <t>gift for my husband, he has the large frames so these don't fit. Getting the right ones</t>
        </is>
      </c>
      <c r="I79" s="5" t="inlineStr">
        <is>
          <t>兼容与收纳</t>
        </is>
      </c>
      <c r="J79" s="5" t="inlineStr">
        <is>
          <t>机型适配</t>
        </is>
      </c>
      <c r="K79" s="5" t="inlineStr">
        <is>
          <t>代买(伴侣); 计划换档</t>
        </is>
      </c>
      <c r="L79" s="5" t="inlineStr"/>
      <c r="M79" s="5" t="inlineStr"/>
      <c r="N79" s="5" t="inlineStr">
        <is>
          <t>客户自己选错</t>
        </is>
      </c>
      <c r="O79" s="5" t="inlineStr">
        <is>
          <t>轻度</t>
        </is>
      </c>
      <c r="P79" s="5" t="inlineStr">
        <is>
          <t>是</t>
        </is>
      </c>
    </row>
    <row r="80">
      <c r="A80" s="5" t="inlineStr">
        <is>
          <t>79</t>
        </is>
      </c>
      <c r="B80" s="5" t="inlineStr">
        <is>
          <t>SAMPLE-EV-0295</t>
        </is>
      </c>
      <c r="C80" s="5" t="inlineStr">
        <is>
          <t>SAMPLE-ORDER-6388</t>
        </is>
      </c>
      <c r="D80" s="5" t="inlineStr">
        <is>
          <t>US</t>
        </is>
      </c>
      <c r="E80" s="5" t="inlineStr">
        <is>
          <t>标准款-1.8mm</t>
        </is>
      </c>
      <c r="F80" s="5" t="inlineStr">
        <is>
          <t>2026-02</t>
        </is>
      </c>
      <c r="G80" s="5" t="inlineStr">
        <is>
          <t>QUALITY_UNACCEPTABLE</t>
        </is>
      </c>
      <c r="H80" s="5" t="inlineStr">
        <is>
          <t>cheap</t>
        </is>
      </c>
      <c r="I80" s="5" t="inlineStr">
        <is>
          <t>综合质量</t>
        </is>
      </c>
      <c r="J80" s="5" t="inlineStr">
        <is>
          <t>质量(泛指)</t>
        </is>
      </c>
      <c r="K80" s="5" t="inlineStr"/>
      <c r="L80" s="5" t="inlineStr"/>
      <c r="M80" s="5" t="inlineStr"/>
      <c r="N80" s="5" t="inlineStr">
        <is>
          <t>说不清</t>
        </is>
      </c>
      <c r="O80" s="5" t="inlineStr">
        <is>
          <t>中度</t>
        </is>
      </c>
      <c r="P80" s="5" t="inlineStr">
        <is>
          <t>否</t>
        </is>
      </c>
    </row>
    <row r="81">
      <c r="A81" s="5" t="inlineStr">
        <is>
          <t>80</t>
        </is>
      </c>
      <c r="B81" s="5" t="inlineStr">
        <is>
          <t>SAMPLE-EV-0298</t>
        </is>
      </c>
      <c r="C81" s="5" t="inlineStr">
        <is>
          <t>SAMPLE-ORDER-7835</t>
        </is>
      </c>
      <c r="D81" s="5" t="inlineStr">
        <is>
          <t>US</t>
        </is>
      </c>
      <c r="E81" s="5" t="inlineStr">
        <is>
          <t>标准款-2.5mm</t>
        </is>
      </c>
      <c r="F81" s="5" t="inlineStr">
        <is>
          <t>2026-03</t>
        </is>
      </c>
      <c r="G81" s="5" t="inlineStr">
        <is>
          <t>NOT_COMPATIBLE</t>
        </is>
      </c>
      <c r="H81" s="5" t="inlineStr">
        <is>
          <t>case</t>
        </is>
      </c>
      <c r="I81" s="5" t="inlineStr">
        <is>
          <t>兼容与收纳</t>
        </is>
      </c>
      <c r="J81" s="5" t="inlineStr">
        <is>
          <t>充电盒相关(没说清)</t>
        </is>
      </c>
      <c r="K81" s="5" t="inlineStr"/>
      <c r="L81" s="5" t="inlineStr"/>
      <c r="M81" s="5" t="inlineStr"/>
      <c r="N81" s="5" t="inlineStr">
        <is>
          <t>说不清</t>
        </is>
      </c>
      <c r="O81" s="5" t="inlineStr">
        <is>
          <t>轻度</t>
        </is>
      </c>
      <c r="P81" s="5" t="inlineStr">
        <is>
          <t>否</t>
        </is>
      </c>
    </row>
    <row r="82">
      <c r="A82" s="5" t="inlineStr">
        <is>
          <t>81</t>
        </is>
      </c>
      <c r="B82" s="5" t="inlineStr">
        <is>
          <t>SAMPLE-EV-0304</t>
        </is>
      </c>
      <c r="C82" s="5" t="inlineStr">
        <is>
          <t>SAMPLE-ORDER-6129</t>
        </is>
      </c>
      <c r="D82" s="5" t="inlineStr">
        <is>
          <t>US</t>
        </is>
      </c>
      <c r="E82" s="5" t="inlineStr">
        <is>
          <t>大号款-1.8mm</t>
        </is>
      </c>
      <c r="F82" s="5" t="inlineStr">
        <is>
          <t>2026-07</t>
        </is>
      </c>
      <c r="G82" s="5" t="inlineStr">
        <is>
          <t>NOT_AS_DESCRIBED</t>
        </is>
      </c>
      <c r="H82" s="5" t="inlineStr">
        <is>
          <t>thinner than I hoped, no change in how the glasses sit</t>
        </is>
      </c>
      <c r="I82" s="5" t="inlineStr">
        <is>
          <t>高度与贴合</t>
        </is>
      </c>
      <c r="J82" s="5" t="inlineStr">
        <is>
          <t>整体高度:偏矮</t>
        </is>
      </c>
      <c r="K82" s="5" t="inlineStr"/>
      <c r="L82" s="5" t="inlineStr"/>
      <c r="M82" s="5" t="inlineStr"/>
      <c r="N82" s="5" t="inlineStr">
        <is>
          <t>说不清</t>
        </is>
      </c>
      <c r="O82" s="5" t="inlineStr">
        <is>
          <t>中度</t>
        </is>
      </c>
      <c r="P82" s="5" t="inlineStr">
        <is>
          <t>否</t>
        </is>
      </c>
    </row>
    <row r="83">
      <c r="A83" s="5" t="inlineStr">
        <is>
          <t>82</t>
        </is>
      </c>
      <c r="B83" s="5" t="inlineStr">
        <is>
          <t>SAMPLE-EV-0310</t>
        </is>
      </c>
      <c r="C83" s="5" t="inlineStr">
        <is>
          <t>SAMPLE-ORDER-9463</t>
        </is>
      </c>
      <c r="D83" s="5" t="inlineStr">
        <is>
          <t>US</t>
        </is>
      </c>
      <c r="E83" s="5" t="inlineStr">
        <is>
          <t>标准款-1.8mm</t>
        </is>
      </c>
      <c r="F83" s="5" t="inlineStr">
        <is>
          <t>2026-05</t>
        </is>
      </c>
      <c r="G83" s="5" t="inlineStr">
        <is>
          <t>QUALITY_UNACCEPTABLE</t>
        </is>
      </c>
      <c r="H83" s="5" t="inlineStr">
        <is>
          <t>silicone is hard, leaves red marks on my nose after an hour</t>
        </is>
      </c>
      <c r="I83" s="5" t="inlineStr">
        <is>
          <t>材质与做工</t>
        </is>
      </c>
      <c r="J83" s="5" t="inlineStr">
        <is>
          <t>硅胶软硬:偏硬</t>
        </is>
      </c>
      <c r="K83" s="5" t="inlineStr"/>
      <c r="L83" s="5" t="inlineStr"/>
      <c r="M83" s="5" t="inlineStr">
        <is>
          <t>佩戴舒适度</t>
        </is>
      </c>
      <c r="N83" s="5" t="inlineStr">
        <is>
          <t>产品的事</t>
        </is>
      </c>
      <c r="O83" s="5" t="inlineStr">
        <is>
          <t>中度</t>
        </is>
      </c>
      <c r="P83" s="5" t="inlineStr">
        <is>
          <t>否</t>
        </is>
      </c>
    </row>
    <row r="84">
      <c r="A84" s="5" t="inlineStr">
        <is>
          <t>83</t>
        </is>
      </c>
      <c r="B84" s="5" t="inlineStr">
        <is>
          <t>SAMPLE-EV-0320</t>
        </is>
      </c>
      <c r="C84" s="5" t="inlineStr">
        <is>
          <t>SAMPLE-ORDER-6445</t>
        </is>
      </c>
      <c r="D84" s="5" t="inlineStr">
        <is>
          <t>US</t>
        </is>
      </c>
      <c r="E84" s="5" t="inlineStr">
        <is>
          <t>大号款-2.5mm</t>
        </is>
      </c>
      <c r="F84" s="5" t="inlineStr">
        <is>
          <t>2026-06</t>
        </is>
      </c>
      <c r="G84" s="5" t="inlineStr">
        <is>
          <t>QUALITY_UNACCEPTABLE</t>
        </is>
      </c>
      <c r="H84" s="5" t="inlineStr">
        <is>
          <t>much stiffer than I expected, not soft at all</t>
        </is>
      </c>
      <c r="I84" s="5" t="inlineStr">
        <is>
          <t>材质与做工</t>
        </is>
      </c>
      <c r="J84" s="5" t="inlineStr">
        <is>
          <t>硅胶软硬:偏硬</t>
        </is>
      </c>
      <c r="K84" s="5" t="inlineStr"/>
      <c r="L84" s="5" t="inlineStr"/>
      <c r="M84" s="5" t="inlineStr"/>
      <c r="N84" s="5" t="inlineStr">
        <is>
          <t>说不清</t>
        </is>
      </c>
      <c r="O84" s="5" t="inlineStr">
        <is>
          <t>中度</t>
        </is>
      </c>
      <c r="P84" s="5" t="inlineStr">
        <is>
          <t>否</t>
        </is>
      </c>
    </row>
    <row r="85">
      <c r="A85" s="5" t="inlineStr">
        <is>
          <t>84</t>
        </is>
      </c>
      <c r="B85" s="5" t="inlineStr">
        <is>
          <t>SAMPLE-EV-0323</t>
        </is>
      </c>
      <c r="C85" s="5" t="inlineStr">
        <is>
          <t>SAMPLE-ORDER-8850</t>
        </is>
      </c>
      <c r="D85" s="5" t="inlineStr">
        <is>
          <t>DE</t>
        </is>
      </c>
      <c r="E85" s="5" t="inlineStr">
        <is>
          <t>标准款-2.5mm</t>
        </is>
      </c>
      <c r="F85" s="5" t="inlineStr">
        <is>
          <t>2026-02</t>
        </is>
      </c>
      <c r="G85" s="5" t="inlineStr">
        <is>
          <t>NOT_COMPATIBLE</t>
        </is>
      </c>
      <c r="H85" s="5" t="inlineStr">
        <is>
          <t>Passt nicht ins Ladeetui, zu gro?? f??r das Etui</t>
        </is>
      </c>
      <c r="I85" s="5" t="inlineStr">
        <is>
          <t>兼容与收纳</t>
        </is>
      </c>
      <c r="J85" s="5" t="inlineStr">
        <is>
          <t>充电盒收纳</t>
        </is>
      </c>
      <c r="K85" s="5" t="inlineStr"/>
      <c r="L85" s="5" t="inlineStr">
        <is>
          <t>放回充电盒时</t>
        </is>
      </c>
      <c r="M85" s="5" t="inlineStr"/>
      <c r="N85" s="5" t="inlineStr">
        <is>
          <t>产品的事</t>
        </is>
      </c>
      <c r="O85" s="5" t="inlineStr">
        <is>
          <t>中度</t>
        </is>
      </c>
      <c r="P85" s="5" t="inlineStr">
        <is>
          <t>否</t>
        </is>
      </c>
    </row>
    <row r="86">
      <c r="A86" s="5" t="inlineStr">
        <is>
          <t>85</t>
        </is>
      </c>
      <c r="B86" s="5" t="inlineStr">
        <is>
          <t>SAMPLE-EV-0339</t>
        </is>
      </c>
      <c r="C86" s="5" t="inlineStr">
        <is>
          <t>SAMPLE-ORDER-7094</t>
        </is>
      </c>
      <c r="D86" s="5" t="inlineStr">
        <is>
          <t>US</t>
        </is>
      </c>
      <c r="E86" s="5" t="inlineStr">
        <is>
          <t>大号款-1.8mm</t>
        </is>
      </c>
      <c r="F86" s="5" t="inlineStr">
        <is>
          <t>2026-01</t>
        </is>
      </c>
      <c r="G86" s="5" t="inlineStr">
        <is>
          <t>NOT_COMPATIBLE</t>
        </is>
      </c>
      <c r="H86" s="5" t="inlineStr">
        <is>
          <t>have to press the glasses down hard to get the charge light on</t>
        </is>
      </c>
      <c r="I86" s="5" t="inlineStr">
        <is>
          <t>兼容与收纳</t>
        </is>
      </c>
      <c r="J86" s="5" t="inlineStr">
        <is>
          <t>装上后充电</t>
        </is>
      </c>
      <c r="K86" s="5" t="inlineStr"/>
      <c r="L86" s="5" t="inlineStr">
        <is>
          <t>放回充电盒时</t>
        </is>
      </c>
      <c r="M86" s="5" t="inlineStr"/>
      <c r="N86" s="5" t="inlineStr">
        <is>
          <t>产品的事</t>
        </is>
      </c>
      <c r="O86" s="5" t="inlineStr">
        <is>
          <t>中度</t>
        </is>
      </c>
      <c r="P86" s="5" t="inlineStr">
        <is>
          <t>否</t>
        </is>
      </c>
    </row>
    <row r="87">
      <c r="A87" s="5" t="inlineStr">
        <is>
          <t>86</t>
        </is>
      </c>
      <c r="B87" s="5" t="inlineStr">
        <is>
          <t>SAMPLE-EV-0341</t>
        </is>
      </c>
      <c r="C87" s="5" t="inlineStr">
        <is>
          <t>SAMPLE-ORDER-4244</t>
        </is>
      </c>
      <c r="D87" s="5" t="inlineStr">
        <is>
          <t>US</t>
        </is>
      </c>
      <c r="E87" s="5" t="inlineStr">
        <is>
          <t>大号款-2.5mm</t>
        </is>
      </c>
      <c r="F87" s="5" t="inlineStr">
        <is>
          <t>2026-07</t>
        </is>
      </c>
      <c r="G87" s="5" t="inlineStr">
        <is>
          <t>NOT_AS_DESCRIBED</t>
        </is>
      </c>
      <c r="H87" s="5" t="inlineStr">
        <is>
          <t>Too thick. Went by the chart for low bridge. Glasses look like they are hovering</t>
        </is>
      </c>
      <c r="I87" s="5" t="inlineStr">
        <is>
          <t>高度与贴合</t>
        </is>
      </c>
      <c r="J87" s="5" t="inlineStr">
        <is>
          <t>整体高度:偏高; 选档指引</t>
        </is>
      </c>
      <c r="K87" s="5" t="inlineStr">
        <is>
          <t>照页面指引选的</t>
        </is>
      </c>
      <c r="L87" s="5" t="inlineStr"/>
      <c r="M87" s="5" t="inlineStr">
        <is>
          <t>外观体面度</t>
        </is>
      </c>
      <c r="N87" s="5" t="inlineStr">
        <is>
          <t>页面的事</t>
        </is>
      </c>
      <c r="O87" s="5" t="inlineStr">
        <is>
          <t>中度</t>
        </is>
      </c>
      <c r="P87" s="5" t="inlineStr">
        <is>
          <t>否</t>
        </is>
      </c>
    </row>
    <row r="88">
      <c r="A88" s="5" t="inlineStr">
        <is>
          <t>87</t>
        </is>
      </c>
      <c r="B88" s="5" t="inlineStr">
        <is>
          <t>SAMPLE-EV-0344</t>
        </is>
      </c>
      <c r="C88" s="5" t="inlineStr">
        <is>
          <t>SAMPLE-ORDER-9775</t>
        </is>
      </c>
      <c r="D88" s="5" t="inlineStr">
        <is>
          <t>US</t>
        </is>
      </c>
      <c r="E88" s="5" t="inlineStr">
        <is>
          <t>大号款-1.8mm</t>
        </is>
      </c>
      <c r="F88" s="5" t="inlineStr">
        <is>
          <t>2026-02</t>
        </is>
      </c>
      <c r="G88" s="5" t="inlineStr">
        <is>
          <t>NOT_COMPATIBLE</t>
        </is>
      </c>
      <c r="H88" s="5" t="inlineStr">
        <is>
          <t>received 2.5 but I ordered 1.8, bag was mislabeled</t>
        </is>
      </c>
      <c r="I88" s="5" t="inlineStr">
        <is>
          <t>非产品因素</t>
        </is>
      </c>
      <c r="J88" s="5" t="inlineStr">
        <is>
          <t>发货准确</t>
        </is>
      </c>
      <c r="K88" s="5" t="inlineStr"/>
      <c r="L88" s="5" t="inlineStr"/>
      <c r="M88" s="5" t="inlineStr"/>
      <c r="N88" s="5" t="inlineStr">
        <is>
          <t>其他</t>
        </is>
      </c>
      <c r="O88" s="5" t="inlineStr">
        <is>
          <t>中度</t>
        </is>
      </c>
      <c r="P88" s="5" t="inlineStr">
        <is>
          <t>否</t>
        </is>
      </c>
    </row>
    <row r="89">
      <c r="A89" s="5" t="inlineStr">
        <is>
          <t>88</t>
        </is>
      </c>
      <c r="B89" s="5" t="inlineStr">
        <is>
          <t>SAMPLE-EV-0352</t>
        </is>
      </c>
      <c r="C89" s="5" t="inlineStr">
        <is>
          <t>SAMPLE-ORDER-6066</t>
        </is>
      </c>
      <c r="D89" s="5" t="inlineStr">
        <is>
          <t>US</t>
        </is>
      </c>
      <c r="E89" s="5" t="inlineStr">
        <is>
          <t>大号款-2.5mm</t>
        </is>
      </c>
      <c r="F89" s="5" t="inlineStr">
        <is>
          <t>2026-08</t>
        </is>
      </c>
      <c r="G89" s="5" t="inlineStr">
        <is>
          <t>DEFECTIVE</t>
        </is>
      </c>
      <c r="H89" s="5" t="inlineStr">
        <is>
          <t>pad came off inside the charging case and now it is stuck in there</t>
        </is>
      </c>
      <c r="I89" s="5" t="inlineStr">
        <is>
          <t>防滑与固定</t>
        </is>
      </c>
      <c r="J89" s="5" t="inlineStr">
        <is>
          <t>背胶牢固度</t>
        </is>
      </c>
      <c r="K89" s="5" t="inlineStr"/>
      <c r="L89" s="5" t="inlineStr">
        <is>
          <t>放回充电盒时</t>
        </is>
      </c>
      <c r="M89" s="5" t="inlineStr"/>
      <c r="N89" s="5" t="inlineStr">
        <is>
          <t>产品的事</t>
        </is>
      </c>
      <c r="O89" s="5" t="inlineStr">
        <is>
          <t>严重</t>
        </is>
      </c>
      <c r="P89" s="5" t="inlineStr">
        <is>
          <t>否</t>
        </is>
      </c>
    </row>
    <row r="90">
      <c r="A90" s="5" t="inlineStr">
        <is>
          <t>89</t>
        </is>
      </c>
      <c r="B90" s="5" t="inlineStr">
        <is>
          <t>SAMPLE-EV-0356</t>
        </is>
      </c>
      <c r="C90" s="5" t="inlineStr">
        <is>
          <t>SAMPLE-ORDER-0214</t>
        </is>
      </c>
      <c r="D90" s="5" t="inlineStr">
        <is>
          <t>US</t>
        </is>
      </c>
      <c r="E90" s="5" t="inlineStr">
        <is>
          <t>标准款-1.8mm</t>
        </is>
      </c>
      <c r="F90" s="5" t="inlineStr">
        <is>
          <t>2026-04</t>
        </is>
      </c>
      <c r="G90" s="5" t="inlineStr">
        <is>
          <t>NOT_AS_DESCRIBED</t>
        </is>
      </c>
      <c r="H90" s="5" t="inlineStr">
        <is>
          <t>width is off, hangs over the edge</t>
        </is>
      </c>
      <c r="I90" s="5" t="inlineStr">
        <is>
          <t>高度与贴合</t>
        </is>
      </c>
      <c r="J90" s="5" t="inlineStr">
        <is>
          <t>宽度与覆盖:偏宽</t>
        </is>
      </c>
      <c r="K90" s="5" t="inlineStr"/>
      <c r="L90" s="5" t="inlineStr"/>
      <c r="M90" s="5" t="inlineStr"/>
      <c r="N90" s="5" t="inlineStr">
        <is>
          <t>产品的事</t>
        </is>
      </c>
      <c r="O90" s="5" t="inlineStr">
        <is>
          <t>中度</t>
        </is>
      </c>
      <c r="P90" s="5" t="inlineStr">
        <is>
          <t>否</t>
        </is>
      </c>
    </row>
    <row r="91">
      <c r="A91" s="5" t="inlineStr">
        <is>
          <t>90</t>
        </is>
      </c>
      <c r="B91" s="5" t="inlineStr">
        <is>
          <t>SAMPLE-EV-0359</t>
        </is>
      </c>
      <c r="C91" s="5" t="inlineStr">
        <is>
          <t>SAMPLE-ORDER-1637</t>
        </is>
      </c>
      <c r="D91" s="5" t="inlineStr">
        <is>
          <t>US</t>
        </is>
      </c>
      <c r="E91" s="5" t="inlineStr">
        <is>
          <t>标准款-1.8mm</t>
        </is>
      </c>
      <c r="F91" s="5" t="inlineStr">
        <is>
          <t>2026-01</t>
        </is>
      </c>
      <c r="G91" s="5" t="inlineStr">
        <is>
          <t>QUALITY_UNACCEPTABLE</t>
        </is>
      </c>
      <c r="H91" s="5" t="inlineStr">
        <is>
          <t>turned yellow within two weeks</t>
        </is>
      </c>
      <c r="I91" s="5" t="inlineStr">
        <is>
          <t>材质与做工</t>
        </is>
      </c>
      <c r="J91" s="5" t="inlineStr">
        <is>
          <t>耐黄变</t>
        </is>
      </c>
      <c r="K91" s="5" t="inlineStr"/>
      <c r="L91" s="5" t="inlineStr"/>
      <c r="M91" s="5" t="inlineStr"/>
      <c r="N91" s="5" t="inlineStr">
        <is>
          <t>产品的事</t>
        </is>
      </c>
      <c r="O91" s="5" t="inlineStr">
        <is>
          <t>中度</t>
        </is>
      </c>
      <c r="P91" s="5" t="inlineStr">
        <is>
          <t>否</t>
        </is>
      </c>
    </row>
    <row r="92">
      <c r="A92" s="5" t="inlineStr">
        <is>
          <t>91</t>
        </is>
      </c>
      <c r="B92" s="5" t="inlineStr">
        <is>
          <t>SAMPLE-EV-0361</t>
        </is>
      </c>
      <c r="C92" s="5" t="inlineStr">
        <is>
          <t>SAMPLE-ORDER-9182</t>
        </is>
      </c>
      <c r="D92" s="5" t="inlineStr">
        <is>
          <t>US</t>
        </is>
      </c>
      <c r="E92" s="5" t="inlineStr">
        <is>
          <t>标准款-2.5mm</t>
        </is>
      </c>
      <c r="F92" s="5" t="inlineStr">
        <is>
          <t>2026-08</t>
        </is>
      </c>
      <c r="G92" s="5" t="inlineStr">
        <is>
          <t>NOT_COMPATIBLE</t>
        </is>
      </c>
      <c r="H92" s="5" t="inlineStr">
        <is>
          <t>doesn't fit</t>
        </is>
      </c>
      <c r="I92" s="5" t="inlineStr">
        <is>
          <t>高度与贴合</t>
        </is>
      </c>
      <c r="J92" s="5" t="inlineStr">
        <is>
          <t>合适度(没说方向)</t>
        </is>
      </c>
      <c r="K92" s="5" t="inlineStr"/>
      <c r="L92" s="5" t="inlineStr"/>
      <c r="M92" s="5" t="inlineStr"/>
      <c r="N92" s="5" t="inlineStr">
        <is>
          <t>说不清</t>
        </is>
      </c>
      <c r="O92" s="5" t="inlineStr">
        <is>
          <t>轻度</t>
        </is>
      </c>
      <c r="P92" s="5" t="inlineStr">
        <is>
          <t>否</t>
        </is>
      </c>
    </row>
    <row r="93">
      <c r="A93" s="5" t="inlineStr">
        <is>
          <t>92</t>
        </is>
      </c>
      <c r="B93" s="5" t="inlineStr">
        <is>
          <t>SAMPLE-EV-0362</t>
        </is>
      </c>
      <c r="C93" s="5" t="inlineStr">
        <is>
          <t>SAMPLE-ORDER-2368</t>
        </is>
      </c>
      <c r="D93" s="5" t="inlineStr">
        <is>
          <t>US</t>
        </is>
      </c>
      <c r="E93" s="5" t="inlineStr">
        <is>
          <t>标准款-2.5mm</t>
        </is>
      </c>
      <c r="F93" s="5" t="inlineStr">
        <is>
          <t>2026-07</t>
        </is>
      </c>
      <c r="G93" s="5" t="inlineStr">
        <is>
          <t>QUALITY_UNACCEPTABLE</t>
        </is>
      </c>
      <c r="H93" s="5" t="inlineStr">
        <is>
          <t>too squishy, compresses flat so no lift left</t>
        </is>
      </c>
      <c r="I93" s="5" t="inlineStr">
        <is>
          <t>材质与做工</t>
        </is>
      </c>
      <c r="J93" s="5" t="inlineStr">
        <is>
          <t>硅胶软硬:偏软; 整体高度:偏矮</t>
        </is>
      </c>
      <c r="K93" s="5" t="inlineStr"/>
      <c r="L93" s="5" t="inlineStr"/>
      <c r="M93" s="5" t="inlineStr"/>
      <c r="N93" s="5" t="inlineStr">
        <is>
          <t>产品的事</t>
        </is>
      </c>
      <c r="O93" s="5" t="inlineStr">
        <is>
          <t>中度</t>
        </is>
      </c>
      <c r="P93" s="5" t="inlineStr">
        <is>
          <t>否</t>
        </is>
      </c>
    </row>
    <row r="94">
      <c r="A94" s="5" t="inlineStr">
        <is>
          <t>93</t>
        </is>
      </c>
      <c r="B94" s="5" t="inlineStr">
        <is>
          <t>SAMPLE-EV-0365</t>
        </is>
      </c>
      <c r="C94" s="5" t="inlineStr">
        <is>
          <t>SAMPLE-ORDER-1686</t>
        </is>
      </c>
      <c r="D94" s="5" t="inlineStr">
        <is>
          <t>US</t>
        </is>
      </c>
      <c r="E94" s="5" t="inlineStr">
        <is>
          <t>大号款-1.8mm</t>
        </is>
      </c>
      <c r="F94" s="5" t="inlineStr">
        <is>
          <t>2026-01</t>
        </is>
      </c>
      <c r="G94" s="5" t="inlineStr">
        <is>
          <t>NOT_AS_DESCRIBED</t>
        </is>
      </c>
      <c r="H94" s="5" t="inlineStr">
        <is>
          <t>says stays on for months, mine lasted two days</t>
        </is>
      </c>
      <c r="I94" s="5" t="inlineStr">
        <is>
          <t>防滑与固定</t>
        </is>
      </c>
      <c r="J94" s="5" t="inlineStr">
        <is>
          <t>背胶牢固度; 防滑宣称兑现度</t>
        </is>
      </c>
      <c r="K94" s="5" t="inlineStr"/>
      <c r="L94" s="5" t="inlineStr"/>
      <c r="M94" s="5" t="inlineStr"/>
      <c r="N94" s="5" t="inlineStr">
        <is>
          <t>页面的事</t>
        </is>
      </c>
      <c r="O94" s="5" t="inlineStr">
        <is>
          <t>严重</t>
        </is>
      </c>
      <c r="P94" s="5" t="inlineStr">
        <is>
          <t>否</t>
        </is>
      </c>
    </row>
    <row r="95">
      <c r="A95" s="5" t="inlineStr">
        <is>
          <t>94</t>
        </is>
      </c>
      <c r="B95" s="5" t="inlineStr">
        <is>
          <t>SAMPLE-EV-0366</t>
        </is>
      </c>
      <c r="C95" s="5" t="inlineStr">
        <is>
          <t>SAMPLE-ORDER-3392</t>
        </is>
      </c>
      <c r="D95" s="5" t="inlineStr">
        <is>
          <t>US</t>
        </is>
      </c>
      <c r="E95" s="5" t="inlineStr">
        <is>
          <t>标准款-1.8mm</t>
        </is>
      </c>
      <c r="F95" s="5" t="inlineStr">
        <is>
          <t>2026-06</t>
        </is>
      </c>
      <c r="G95" s="5" t="inlineStr">
        <is>
          <t>QUALITY_UNACCEPTABLE</t>
        </is>
      </c>
      <c r="H95" s="5" t="inlineStr">
        <is>
          <t>too low, no real lift</t>
        </is>
      </c>
      <c r="I95" s="5" t="inlineStr">
        <is>
          <t>高度与贴合</t>
        </is>
      </c>
      <c r="J95" s="5" t="inlineStr">
        <is>
          <t>整体高度:偏矮</t>
        </is>
      </c>
      <c r="K95" s="5" t="inlineStr"/>
      <c r="L95" s="5" t="inlineStr"/>
      <c r="M95" s="5" t="inlineStr"/>
      <c r="N95" s="5" t="inlineStr">
        <is>
          <t>说不清</t>
        </is>
      </c>
      <c r="O95" s="5" t="inlineStr">
        <is>
          <t>中度</t>
        </is>
      </c>
      <c r="P95" s="5" t="inlineStr">
        <is>
          <t>否</t>
        </is>
      </c>
    </row>
  </sheetData>
  <autoFilter ref="A1:P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14" customWidth="1" min="3" max="3"/>
    <col width="12" customWidth="1" min="4" max="4"/>
  </cols>
  <sheetData>
    <row r="1">
      <c r="A1" s="6" t="inlineStr">
        <is>
          <t>客户在说什么（一条原话可以说到好几件事，合计 &gt; 94）｜进排名的门槛 ≥3</t>
        </is>
      </c>
    </row>
    <row r="3">
      <c r="A3" s="4" t="inlineStr">
        <is>
          <t>大类</t>
        </is>
      </c>
      <c r="B3" s="4" t="inlineStr">
        <is>
          <t>细项</t>
        </is>
      </c>
      <c r="C3" s="4" t="inlineStr">
        <is>
          <t>提到的条数</t>
        </is>
      </c>
      <c r="D3" s="4" t="inlineStr">
        <is>
          <t>占 94 条</t>
        </is>
      </c>
    </row>
    <row r="4">
      <c r="A4" s="7" t="inlineStr">
        <is>
          <t>高度与贴合</t>
        </is>
      </c>
      <c r="B4" s="7" t="inlineStr">
        <is>
          <t>— 小计</t>
        </is>
      </c>
      <c r="C4" s="8">
        <f>COUNTIF('01_打标明细'!$I$2:$I$95,"高度与贴合")</f>
        <v/>
      </c>
      <c r="D4" s="9">
        <f>C4/94</f>
        <v/>
      </c>
    </row>
    <row r="5">
      <c r="A5" s="10" t="n"/>
      <c r="B5" s="10" t="inlineStr">
        <is>
          <t>整体高度</t>
        </is>
      </c>
      <c r="C5" s="11">
        <f>SUMPRODUCT(--ISNUMBER(SEARCH("整体高度",'01_打标明细'!$J$2:$J$95)))</f>
        <v/>
      </c>
      <c r="D5" s="12">
        <f>C5/94</f>
        <v/>
      </c>
    </row>
    <row r="6">
      <c r="A6" s="10" t="n"/>
      <c r="B6" s="10" t="inlineStr">
        <is>
          <t>宽度与覆盖</t>
        </is>
      </c>
      <c r="C6" s="11">
        <f>SUMPRODUCT(--ISNUMBER(SEARCH("宽度与覆盖",'01_打标明细'!$J$2:$J$95)))</f>
        <v/>
      </c>
      <c r="D6" s="12">
        <f>C6/94</f>
        <v/>
      </c>
    </row>
    <row r="7">
      <c r="A7" s="10" t="n"/>
      <c r="B7" s="10" t="inlineStr">
        <is>
          <t>选档指引</t>
        </is>
      </c>
      <c r="C7" s="11">
        <f>SUMPRODUCT(--ISNUMBER(SEARCH("选档指引",'01_打标明细'!$J$2:$J$95)))</f>
        <v/>
      </c>
      <c r="D7" s="12">
        <f>C7/94</f>
        <v/>
      </c>
    </row>
    <row r="8">
      <c r="A8" s="10" t="n"/>
      <c r="B8" s="10" t="inlineStr">
        <is>
          <t>合适度(没说方向)</t>
        </is>
      </c>
      <c r="C8" s="11">
        <f>SUMPRODUCT(--ISNUMBER(SEARCH("合适度(没说方向)",'01_打标明细'!$J$2:$J$95)))</f>
        <v/>
      </c>
      <c r="D8" s="12">
        <f>C8/94</f>
        <v/>
      </c>
    </row>
    <row r="9">
      <c r="A9" s="10" t="n"/>
      <c r="B9" s="10" t="inlineStr">
        <is>
          <t>防滑效果(泛指)</t>
        </is>
      </c>
      <c r="C9" s="11">
        <f>SUMPRODUCT(--ISNUMBER(SEARCH("防滑效果(泛指)",'01_打标明细'!$J$2:$J$95)))</f>
        <v/>
      </c>
      <c r="D9" s="12">
        <f>C9/94</f>
        <v/>
      </c>
    </row>
    <row r="10">
      <c r="A10" s="10" t="n"/>
      <c r="B10" s="10" t="inlineStr">
        <is>
          <t>摄像头视角</t>
        </is>
      </c>
      <c r="C10" s="11">
        <f>SUMPRODUCT(--ISNUMBER(SEARCH("摄像头视角",'01_打标明细'!$J$2:$J$95)))</f>
        <v/>
      </c>
      <c r="D10" s="12">
        <f>C10/94</f>
        <v/>
      </c>
    </row>
    <row r="11">
      <c r="A11" s="7" t="inlineStr">
        <is>
          <t>防滑与固定</t>
        </is>
      </c>
      <c r="B11" s="7" t="inlineStr">
        <is>
          <t>— 小计</t>
        </is>
      </c>
      <c r="C11" s="8">
        <f>COUNTIF('01_打标明细'!$I$2:$I$95,"防滑与固定")</f>
        <v/>
      </c>
      <c r="D11" s="9">
        <f>C11/94</f>
        <v/>
      </c>
    </row>
    <row r="12">
      <c r="A12" s="10" t="n"/>
      <c r="B12" s="10" t="inlineStr">
        <is>
          <t>整体高度</t>
        </is>
      </c>
      <c r="C12" s="11">
        <f>SUMPRODUCT(--ISNUMBER(SEARCH("整体高度",'01_打标明细'!$J$2:$J$95)))</f>
        <v/>
      </c>
      <c r="D12" s="12">
        <f>C12/94</f>
        <v/>
      </c>
    </row>
    <row r="13">
      <c r="A13" s="10" t="n"/>
      <c r="B13" s="10" t="inlineStr">
        <is>
          <t>背胶牢固度</t>
        </is>
      </c>
      <c r="C13" s="11">
        <f>SUMPRODUCT(--ISNUMBER(SEARCH("背胶牢固度",'01_打标明细'!$J$2:$J$95)))</f>
        <v/>
      </c>
      <c r="D13" s="12">
        <f>C13/94</f>
        <v/>
      </c>
    </row>
    <row r="14">
      <c r="A14" s="10" t="n"/>
      <c r="B14" s="10" t="inlineStr">
        <is>
          <t>防滑效果(泛指)</t>
        </is>
      </c>
      <c r="C14" s="11">
        <f>SUMPRODUCT(--ISNUMBER(SEARCH("防滑效果(泛指)",'01_打标明细'!$J$2:$J$95)))</f>
        <v/>
      </c>
      <c r="D14" s="12">
        <f>C14/94</f>
        <v/>
      </c>
    </row>
    <row r="15">
      <c r="A15" s="10" t="n"/>
      <c r="B15" s="10" t="inlineStr">
        <is>
          <t>防滑宣称兑现度</t>
        </is>
      </c>
      <c r="C15" s="11">
        <f>SUMPRODUCT(--ISNUMBER(SEARCH("防滑宣称兑现度",'01_打标明细'!$J$2:$J$95)))</f>
        <v/>
      </c>
      <c r="D15" s="12">
        <f>C15/94</f>
        <v/>
      </c>
    </row>
    <row r="16">
      <c r="A16" s="10" t="n"/>
      <c r="B16" s="10" t="inlineStr">
        <is>
          <t>出汗时防滑</t>
        </is>
      </c>
      <c r="C16" s="11">
        <f>SUMPRODUCT(--ISNUMBER(SEARCH("出汗时防滑",'01_打标明细'!$J$2:$J$95)))</f>
        <v/>
      </c>
      <c r="D16" s="12">
        <f>C16/94</f>
        <v/>
      </c>
    </row>
    <row r="17">
      <c r="A17" s="10" t="n"/>
      <c r="B17" s="10" t="inlineStr">
        <is>
          <t>撕下后留胶</t>
        </is>
      </c>
      <c r="C17" s="11">
        <f>SUMPRODUCT(--ISNUMBER(SEARCH("撕下后留胶",'01_打标明细'!$J$2:$J$95)))</f>
        <v/>
      </c>
      <c r="D17" s="12">
        <f>C17/94</f>
        <v/>
      </c>
    </row>
    <row r="18">
      <c r="A18" s="7" t="inlineStr">
        <is>
          <t>兼容与收纳</t>
        </is>
      </c>
      <c r="B18" s="7" t="inlineStr">
        <is>
          <t>— 小计</t>
        </is>
      </c>
      <c r="C18" s="8">
        <f>COUNTIF('01_打标明细'!$I$2:$I$95,"兼容与收纳")</f>
        <v/>
      </c>
      <c r="D18" s="9">
        <f>C18/94</f>
        <v/>
      </c>
    </row>
    <row r="19">
      <c r="A19" s="10" t="n"/>
      <c r="B19" s="10" t="inlineStr">
        <is>
          <t>充电盒收纳</t>
        </is>
      </c>
      <c r="C19" s="11">
        <f>SUMPRODUCT(--ISNUMBER(SEARCH("充电盒收纳",'01_打标明细'!$J$2:$J$95)))</f>
        <v/>
      </c>
      <c r="D19" s="12">
        <f>C19/94</f>
        <v/>
      </c>
    </row>
    <row r="20">
      <c r="A20" s="10" t="n"/>
      <c r="B20" s="10" t="inlineStr">
        <is>
          <t>机型适配</t>
        </is>
      </c>
      <c r="C20" s="11">
        <f>SUMPRODUCT(--ISNUMBER(SEARCH("机型适配",'01_打标明细'!$J$2:$J$95)))</f>
        <v/>
      </c>
      <c r="D20" s="12">
        <f>C20/94</f>
        <v/>
      </c>
    </row>
    <row r="21">
      <c r="A21" s="10" t="n"/>
      <c r="B21" s="10" t="inlineStr">
        <is>
          <t>兼容宣称兑现度</t>
        </is>
      </c>
      <c r="C21" s="11">
        <f>SUMPRODUCT(--ISNUMBER(SEARCH("兼容宣称兑现度",'01_打标明细'!$J$2:$J$95)))</f>
        <v/>
      </c>
      <c r="D21" s="12">
        <f>C21/94</f>
        <v/>
      </c>
    </row>
    <row r="22">
      <c r="A22" s="10" t="n"/>
      <c r="B22" s="10" t="inlineStr">
        <is>
          <t>摄像头视角</t>
        </is>
      </c>
      <c r="C22" s="11">
        <f>SUMPRODUCT(--ISNUMBER(SEARCH("摄像头视角",'01_打标明细'!$J$2:$J$95)))</f>
        <v/>
      </c>
      <c r="D22" s="12">
        <f>C22/94</f>
        <v/>
      </c>
    </row>
    <row r="23">
      <c r="A23" s="10" t="n"/>
      <c r="B23" s="10" t="inlineStr">
        <is>
          <t>装上后充电</t>
        </is>
      </c>
      <c r="C23" s="11">
        <f>SUMPRODUCT(--ISNUMBER(SEARCH("装上后充电",'01_打标明细'!$J$2:$J$95)))</f>
        <v/>
      </c>
      <c r="D23" s="12">
        <f>C23/94</f>
        <v/>
      </c>
    </row>
    <row r="24">
      <c r="A24" s="10" t="n"/>
      <c r="B24" s="10" t="inlineStr">
        <is>
          <t>充电盒相关(没说清)</t>
        </is>
      </c>
      <c r="C24" s="11">
        <f>SUMPRODUCT(--ISNUMBER(SEARCH("充电盒相关(没说清)",'01_打标明细'!$J$2:$J$95)))</f>
        <v/>
      </c>
      <c r="D24" s="12">
        <f>C24/94</f>
        <v/>
      </c>
    </row>
    <row r="25">
      <c r="A25" s="7" t="inlineStr">
        <is>
          <t>材质与做工</t>
        </is>
      </c>
      <c r="B25" s="7" t="inlineStr">
        <is>
          <t>— 小计</t>
        </is>
      </c>
      <c r="C25" s="8">
        <f>COUNTIF('01_打标明细'!$I$2:$I$95,"材质与做工")</f>
        <v/>
      </c>
      <c r="D25" s="9">
        <f>C25/94</f>
        <v/>
      </c>
    </row>
    <row r="26">
      <c r="A26" s="10" t="n"/>
      <c r="B26" s="10" t="inlineStr">
        <is>
          <t>整体高度</t>
        </is>
      </c>
      <c r="C26" s="11">
        <f>SUMPRODUCT(--ISNUMBER(SEARCH("整体高度",'01_打标明细'!$J$2:$J$95)))</f>
        <v/>
      </c>
      <c r="D26" s="12">
        <f>C26/94</f>
        <v/>
      </c>
    </row>
    <row r="27">
      <c r="A27" s="10" t="n"/>
      <c r="B27" s="10" t="inlineStr">
        <is>
          <t>硅胶软硬</t>
        </is>
      </c>
      <c r="C27" s="11">
        <f>SUMPRODUCT(--ISNUMBER(SEARCH("硅胶软硬",'01_打标明细'!$J$2:$J$95)))</f>
        <v/>
      </c>
      <c r="D27" s="12">
        <f>C27/94</f>
        <v/>
      </c>
    </row>
    <row r="28">
      <c r="A28" s="10" t="n"/>
      <c r="B28" s="10" t="inlineStr">
        <is>
          <t>颜色与图片一致</t>
        </is>
      </c>
      <c r="C28" s="11">
        <f>SUMPRODUCT(--ISNUMBER(SEARCH("颜色与图片一致",'01_打标明细'!$J$2:$J$95)))</f>
        <v/>
      </c>
      <c r="D28" s="12">
        <f>C28/94</f>
        <v/>
      </c>
    </row>
    <row r="29">
      <c r="A29" s="10" t="n"/>
      <c r="B29" s="10" t="inlineStr">
        <is>
          <t>耐黄变</t>
        </is>
      </c>
      <c r="C29" s="11">
        <f>SUMPRODUCT(--ISNUMBER(SEARCH("耐黄变",'01_打标明细'!$J$2:$J$95)))</f>
        <v/>
      </c>
      <c r="D29" s="12">
        <f>C29/94</f>
        <v/>
      </c>
    </row>
    <row r="30">
      <c r="A30" s="10" t="n"/>
      <c r="B30" s="10" t="inlineStr">
        <is>
          <t>边缘做工</t>
        </is>
      </c>
      <c r="C30" s="11">
        <f>SUMPRODUCT(--ISNUMBER(SEARCH("边缘做工",'01_打标明细'!$J$2:$J$95)))</f>
        <v/>
      </c>
      <c r="D30" s="12">
        <f>C30/94</f>
        <v/>
      </c>
    </row>
    <row r="31">
      <c r="A31" s="7" t="inlineStr">
        <is>
          <t>综合质量</t>
        </is>
      </c>
      <c r="B31" s="7" t="inlineStr">
        <is>
          <t>— 小计</t>
        </is>
      </c>
      <c r="C31" s="8">
        <f>COUNTIF('01_打标明细'!$I$2:$I$95,"综合质量")</f>
        <v/>
      </c>
      <c r="D31" s="9">
        <f>C31/94</f>
        <v/>
      </c>
    </row>
    <row r="32">
      <c r="A32" s="10" t="n"/>
      <c r="B32" s="10" t="inlineStr">
        <is>
          <t>与预期(泛指)</t>
        </is>
      </c>
      <c r="C32" s="11">
        <f>SUMPRODUCT(--ISNUMBER(SEARCH("与预期(泛指)",'01_打标明细'!$J$2:$J$95)))</f>
        <v/>
      </c>
      <c r="D32" s="12">
        <f>C32/94</f>
        <v/>
      </c>
    </row>
    <row r="33">
      <c r="A33" s="10" t="n"/>
      <c r="B33" s="10" t="inlineStr">
        <is>
          <t>硅胶软硬</t>
        </is>
      </c>
      <c r="C33" s="11">
        <f>SUMPRODUCT(--ISNUMBER(SEARCH("硅胶软硬",'01_打标明细'!$J$2:$J$95)))</f>
        <v/>
      </c>
      <c r="D33" s="12">
        <f>C33/94</f>
        <v/>
      </c>
    </row>
    <row r="34">
      <c r="A34" s="10" t="n"/>
      <c r="B34" s="10" t="inlineStr">
        <is>
          <t>贴片式形态(这一款特有)</t>
        </is>
      </c>
      <c r="C34" s="11">
        <f>SUMPRODUCT(--ISNUMBER(SEARCH("贴片式形态(这一款特有)",'01_打标明细'!$J$2:$J$95)))</f>
        <v/>
      </c>
      <c r="D34" s="12">
        <f>C34/94</f>
        <v/>
      </c>
    </row>
    <row r="35">
      <c r="A35" s="10" t="n"/>
      <c r="B35" s="10" t="inlineStr">
        <is>
          <t>质量(泛指)</t>
        </is>
      </c>
      <c r="C35" s="11">
        <f>SUMPRODUCT(--ISNUMBER(SEARCH("质量(泛指)",'01_打标明细'!$J$2:$J$95)))</f>
        <v/>
      </c>
      <c r="D35" s="12">
        <f>C35/94</f>
        <v/>
      </c>
    </row>
    <row r="36">
      <c r="A36" s="10" t="n"/>
      <c r="B36" s="10" t="inlineStr">
        <is>
          <t>值不值</t>
        </is>
      </c>
      <c r="C36" s="11">
        <f>SUMPRODUCT(--ISNUMBER(SEARCH("值不值",'01_打标明细'!$J$2:$J$95)))</f>
        <v/>
      </c>
      <c r="D36" s="12">
        <f>C36/94</f>
        <v/>
      </c>
    </row>
    <row r="37">
      <c r="A37" s="10" t="n"/>
      <c r="B37" s="10" t="inlineStr">
        <is>
          <t>同款批次一致性</t>
        </is>
      </c>
      <c r="C37" s="11">
        <f>SUMPRODUCT(--ISNUMBER(SEARCH("同款批次一致性",'01_打标明细'!$J$2:$J$95)))</f>
        <v/>
      </c>
      <c r="D37" s="12">
        <f>C37/94</f>
        <v/>
      </c>
    </row>
    <row r="38">
      <c r="A38" s="10" t="n"/>
      <c r="B38" s="10" t="inlineStr">
        <is>
          <t>新旧状态</t>
        </is>
      </c>
      <c r="C38" s="11">
        <f>SUMPRODUCT(--ISNUMBER(SEARCH("新旧状态",'01_打标明细'!$J$2:$J$95)))</f>
        <v/>
      </c>
      <c r="D38" s="12">
        <f>C38/94</f>
        <v/>
      </c>
    </row>
    <row r="39">
      <c r="A39" s="7" t="inlineStr">
        <is>
          <t>非产品因素</t>
        </is>
      </c>
      <c r="B39" s="7" t="inlineStr">
        <is>
          <t>— 小计</t>
        </is>
      </c>
      <c r="C39" s="8">
        <f>COUNTIF('01_打标明细'!$I$2:$I$95,"非产品因素")</f>
        <v/>
      </c>
      <c r="D39" s="9">
        <f>C39/94</f>
        <v/>
      </c>
    </row>
    <row r="40">
      <c r="A40" s="10" t="n"/>
      <c r="B40" s="10" t="inlineStr">
        <is>
          <t>发货准确</t>
        </is>
      </c>
      <c r="C40" s="11">
        <f>SUMPRODUCT(--ISNUMBER(SEARCH("发货准确",'01_打标明细'!$J$2:$J$95)))</f>
        <v/>
      </c>
      <c r="D40" s="12">
        <f>C40/94</f>
        <v/>
      </c>
    </row>
    <row r="41">
      <c r="A41" s="10" t="n"/>
      <c r="B41" s="10" t="inlineStr">
        <is>
          <t>重复下单</t>
        </is>
      </c>
      <c r="C41" s="11">
        <f>SUMPRODUCT(--ISNUMBER(SEARCH("重复下单",'01_打标明细'!$J$2:$J$95)))</f>
        <v/>
      </c>
      <c r="D41" s="12">
        <f>C41/94</f>
        <v/>
      </c>
    </row>
    <row r="42">
      <c r="A42" s="10" t="n"/>
      <c r="B42" s="10" t="n"/>
      <c r="C42" s="11" t="n"/>
      <c r="D42" s="12" t="n"/>
    </row>
    <row r="43">
      <c r="A43" s="10" t="inlineStr">
        <is>
          <t>谁在说</t>
        </is>
      </c>
      <c r="B43" s="10" t="n"/>
      <c r="C43" s="11" t="n"/>
      <c r="D43" s="12" t="n"/>
    </row>
    <row r="44">
      <c r="A44" s="13" t="inlineStr">
        <is>
          <t>类型</t>
        </is>
      </c>
      <c r="B44" s="13" t="inlineStr">
        <is>
          <t>标签</t>
        </is>
      </c>
      <c r="C44" s="14" t="inlineStr">
        <is>
          <t>提到的条数</t>
        </is>
      </c>
      <c r="D44" s="15" t="inlineStr">
        <is>
          <t>占 94 条</t>
        </is>
      </c>
    </row>
    <row r="45">
      <c r="A45" s="10" t="inlineStr">
        <is>
          <t>谁在说</t>
        </is>
      </c>
      <c r="B45" s="10" t="inlineStr">
        <is>
          <t>照页面指引选的</t>
        </is>
      </c>
      <c r="C45" s="11">
        <f>SUMPRODUCT(--ISNUMBER(SEARCH("照页面指引选的",'01_打标明细'!$K$2:$K$95)))</f>
        <v/>
      </c>
      <c r="D45" s="12">
        <f>C45/94</f>
        <v/>
      </c>
    </row>
    <row r="46">
      <c r="A46" s="10" t="inlineStr">
        <is>
          <t>谁在说</t>
        </is>
      </c>
      <c r="B46" s="10" t="inlineStr">
        <is>
          <t>计划换档</t>
        </is>
      </c>
      <c r="C46" s="11">
        <f>SUMPRODUCT(--ISNUMBER(SEARCH("计划换档",'01_打标明细'!$K$2:$K$95)))</f>
        <v/>
      </c>
      <c r="D46" s="12">
        <f>C46/94</f>
        <v/>
      </c>
    </row>
    <row r="47">
      <c r="A47" s="10" t="inlineStr">
        <is>
          <t>谁在说</t>
        </is>
      </c>
      <c r="B47" s="10" t="inlineStr">
        <is>
          <t>已换档复购</t>
        </is>
      </c>
      <c r="C47" s="11">
        <f>SUMPRODUCT(--ISNUMBER(SEARCH("已换档复购",'01_打标明细'!$K$2:$K$95)))</f>
        <v/>
      </c>
      <c r="D47" s="12">
        <f>C47/94</f>
        <v/>
      </c>
    </row>
    <row r="48">
      <c r="A48" s="10" t="inlineStr">
        <is>
          <t>谁在说</t>
        </is>
      </c>
      <c r="B48" s="10" t="inlineStr">
        <is>
          <t>原装鼻托</t>
        </is>
      </c>
      <c r="C48" s="11">
        <f>SUMPRODUCT(--ISNUMBER(SEARCH("原装鼻托",'01_打标明细'!$K$2:$K$95)))</f>
        <v/>
      </c>
      <c r="D48" s="12">
        <f>C48/94</f>
        <v/>
      </c>
    </row>
    <row r="49">
      <c r="A49" s="10" t="inlineStr">
        <is>
          <t>谁在说</t>
        </is>
      </c>
      <c r="B49" s="10" t="inlineStr">
        <is>
          <t>长期佩戴</t>
        </is>
      </c>
      <c r="C49" s="11">
        <f>SUMPRODUCT(--ISNUMBER(SEARCH("长期佩戴",'01_打标明细'!$K$2:$K$95)))</f>
        <v/>
      </c>
      <c r="D49" s="12">
        <f>C49/94</f>
        <v/>
      </c>
    </row>
    <row r="50">
      <c r="A50" s="10" t="inlineStr">
        <is>
          <t>谁在说</t>
        </is>
      </c>
      <c r="B50" s="10" t="inlineStr">
        <is>
          <t>代买(父母)</t>
        </is>
      </c>
      <c r="C50" s="11">
        <f>SUMPRODUCT(--ISNUMBER(SEARCH("代买(父母)",'01_打标明细'!$K$2:$K$95)))</f>
        <v/>
      </c>
      <c r="D50" s="12">
        <f>C50/94</f>
        <v/>
      </c>
    </row>
    <row r="51">
      <c r="A51" s="10" t="inlineStr">
        <is>
          <t>谁在说</t>
        </is>
      </c>
      <c r="B51" s="10" t="inlineStr">
        <is>
          <t>代买(伴侣)</t>
        </is>
      </c>
      <c r="C51" s="11">
        <f>SUMPRODUCT(--ISNUMBER(SEARCH("代买(伴侣)",'01_打标明细'!$K$2:$K$95)))</f>
        <v/>
      </c>
      <c r="D51" s="12">
        <f>C51/94</f>
        <v/>
      </c>
    </row>
    <row r="52">
      <c r="A52" s="10" t="n"/>
      <c r="B52" s="10" t="n"/>
      <c r="C52" s="11" t="n"/>
      <c r="D52" s="12" t="n"/>
    </row>
    <row r="53">
      <c r="A53" s="10" t="inlineStr">
        <is>
          <t>什么情况下</t>
        </is>
      </c>
      <c r="B53" s="10" t="n"/>
      <c r="C53" s="11" t="n"/>
      <c r="D53" s="12" t="n"/>
    </row>
    <row r="54">
      <c r="A54" s="13" t="inlineStr">
        <is>
          <t>类型</t>
        </is>
      </c>
      <c r="B54" s="13" t="inlineStr">
        <is>
          <t>标签</t>
        </is>
      </c>
      <c r="C54" s="14" t="inlineStr">
        <is>
          <t>提到的条数</t>
        </is>
      </c>
      <c r="D54" s="15" t="inlineStr">
        <is>
          <t>占 94 条</t>
        </is>
      </c>
    </row>
    <row r="55">
      <c r="A55" s="10" t="inlineStr">
        <is>
          <t>什么情况下</t>
        </is>
      </c>
      <c r="B55" s="10" t="inlineStr">
        <is>
          <t>放回充电盒时</t>
        </is>
      </c>
      <c r="C55" s="11">
        <f>SUMPRODUCT(--ISNUMBER(SEARCH("放回充电盒时",'01_打标明细'!$L$2:$L$95)))</f>
        <v/>
      </c>
      <c r="D55" s="12">
        <f>C55/94</f>
        <v/>
      </c>
    </row>
    <row r="56">
      <c r="A56" s="10" t="inlineStr">
        <is>
          <t>什么情况下</t>
        </is>
      </c>
      <c r="B56" s="10" t="inlineStr">
        <is>
          <t>运动出汗</t>
        </is>
      </c>
      <c r="C56" s="11">
        <f>SUMPRODUCT(--ISNUMBER(SEARCH("运动出汗",'01_打标明细'!$L$2:$L$95)))</f>
        <v/>
      </c>
      <c r="D56" s="12">
        <f>C56/94</f>
        <v/>
      </c>
    </row>
    <row r="57">
      <c r="A57" s="10" t="inlineStr">
        <is>
          <t>什么情况下</t>
        </is>
      </c>
      <c r="B57" s="10" t="inlineStr">
        <is>
          <t>第一次用就出问题</t>
        </is>
      </c>
      <c r="C57" s="11">
        <f>SUMPRODUCT(--ISNUMBER(SEARCH("第一次用就出问题",'01_打标明细'!$L$2:$L$95)))</f>
        <v/>
      </c>
      <c r="D57" s="12">
        <f>C57/94</f>
        <v/>
      </c>
    </row>
    <row r="58">
      <c r="A58" s="10" t="inlineStr">
        <is>
          <t>什么情况下</t>
        </is>
      </c>
      <c r="B58" s="10" t="inlineStr">
        <is>
          <t>全天佩戴</t>
        </is>
      </c>
      <c r="C58" s="11">
        <f>SUMPRODUCT(--ISNUMBER(SEARCH("全天佩戴",'01_打标明细'!$L$2:$L$95)))</f>
        <v/>
      </c>
      <c r="D58" s="12">
        <f>C58/94</f>
        <v/>
      </c>
    </row>
    <row r="59">
      <c r="A59" s="10" t="inlineStr">
        <is>
          <t>什么情况下</t>
        </is>
      </c>
      <c r="B59" s="10" t="inlineStr">
        <is>
          <t>重复下单</t>
        </is>
      </c>
      <c r="C59" s="11">
        <f>SUMPRODUCT(--ISNUMBER(SEARCH("重复下单",'01_打标明细'!$L$2:$L$95)))</f>
        <v/>
      </c>
      <c r="D59" s="12">
        <f>C59/94</f>
        <v/>
      </c>
    </row>
    <row r="60">
      <c r="A60" s="10" t="n"/>
      <c r="B60" s="10" t="n"/>
      <c r="C60" s="11" t="n"/>
      <c r="D60" s="12" t="n"/>
    </row>
    <row r="61">
      <c r="A61" s="10" t="inlineStr">
        <is>
          <t>过程感受</t>
        </is>
      </c>
      <c r="B61" s="10" t="n"/>
      <c r="C61" s="11" t="n"/>
      <c r="D61" s="12" t="n"/>
    </row>
    <row r="62">
      <c r="A62" s="13" t="inlineStr">
        <is>
          <t>类型</t>
        </is>
      </c>
      <c r="B62" s="13" t="inlineStr">
        <is>
          <t>标签</t>
        </is>
      </c>
      <c r="C62" s="14" t="inlineStr">
        <is>
          <t>提到的条数</t>
        </is>
      </c>
      <c r="D62" s="15" t="inlineStr">
        <is>
          <t>占 94 条</t>
        </is>
      </c>
    </row>
    <row r="63">
      <c r="A63" s="10" t="inlineStr">
        <is>
          <t>过程感受</t>
        </is>
      </c>
      <c r="B63" s="10" t="inlineStr">
        <is>
          <t>外观体面度</t>
        </is>
      </c>
      <c r="C63" s="11">
        <f>SUMPRODUCT(--ISNUMBER(SEARCH("外观体面度",'01_打标明细'!$M$2:$M$95)))</f>
        <v/>
      </c>
      <c r="D63" s="12">
        <f>C63/94</f>
        <v/>
      </c>
    </row>
    <row r="64">
      <c r="A64" s="10" t="inlineStr">
        <is>
          <t>过程感受</t>
        </is>
      </c>
      <c r="B64" s="10" t="inlineStr">
        <is>
          <t>佩戴舒适度</t>
        </is>
      </c>
      <c r="C64" s="11">
        <f>SUMPRODUCT(--ISNUMBER(SEARCH("佩戴舒适度",'01_打标明细'!$M$2:$M$95)))</f>
        <v/>
      </c>
      <c r="D64" s="12">
        <f>C64/94</f>
        <v/>
      </c>
    </row>
    <row r="65">
      <c r="A65" s="10" t="inlineStr">
        <is>
          <t>过程感受</t>
        </is>
      </c>
      <c r="B65" s="10" t="inlineStr">
        <is>
          <t>收货第一印象</t>
        </is>
      </c>
      <c r="C65" s="11">
        <f>SUMPRODUCT(--ISNUMBER(SEARCH("收货第一印象",'01_打标明细'!$M$2:$M$95)))</f>
        <v/>
      </c>
      <c r="D65" s="12">
        <f>C65/94</f>
        <v/>
      </c>
    </row>
    <row r="66">
      <c r="A66" s="10" t="inlineStr">
        <is>
          <t>过程感受</t>
        </is>
      </c>
      <c r="B66" s="10" t="inlineStr">
        <is>
          <t>安心感(夸)</t>
        </is>
      </c>
      <c r="C66" s="11">
        <f>SUMPRODUCT(--ISNUMBER(SEARCH("安心感(夸)",'01_打标明细'!$M$2:$M$95)))</f>
        <v/>
      </c>
      <c r="D66" s="12">
        <f>C66/94</f>
        <v/>
      </c>
    </row>
    <row r="67">
      <c r="A67" s="10" t="inlineStr">
        <is>
          <t>过程感受</t>
        </is>
      </c>
      <c r="B67" s="10" t="inlineStr">
        <is>
          <t>佩戴舒适度(夸)</t>
        </is>
      </c>
      <c r="C67" s="11">
        <f>SUMPRODUCT(--ISNUMBER(SEARCH("佩戴舒适度(夸)",'01_打标明细'!$M$2:$M$95)))</f>
        <v/>
      </c>
      <c r="D67" s="12">
        <f>C67/94</f>
        <v/>
      </c>
    </row>
    <row r="68">
      <c r="A68" s="10" t="inlineStr">
        <is>
          <t>过程感受</t>
        </is>
      </c>
      <c r="B68" s="10" t="inlineStr">
        <is>
          <t>使用者拒绝佩戴</t>
        </is>
      </c>
      <c r="C68" s="11">
        <f>SUMPRODUCT(--ISNUMBER(SEARCH("使用者拒绝佩戴",'01_打标明细'!$M$2:$M$95)))</f>
        <v/>
      </c>
      <c r="D68" s="12">
        <f>C68/94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22" customWidth="1" min="4" max="4"/>
    <col width="54" customWidth="1" min="5" max="5"/>
  </cols>
  <sheetData>
    <row r="1">
      <c r="A1" s="6" t="inlineStr">
        <is>
          <t>该谁改 —— 每条原话只判一个</t>
        </is>
      </c>
    </row>
    <row r="3">
      <c r="A3" s="4" t="inlineStr">
        <is>
          <t>该谁改</t>
        </is>
      </c>
      <c r="B3" s="4" t="inlineStr">
        <is>
          <t>条数</t>
        </is>
      </c>
      <c r="C3" s="4" t="inlineStr">
        <is>
          <t>占比</t>
        </is>
      </c>
      <c r="D3" s="4" t="inlineStr">
        <is>
          <t>哪个部门</t>
        </is>
      </c>
      <c r="E3" s="4" t="inlineStr">
        <is>
          <t>往哪个方向动</t>
        </is>
      </c>
    </row>
    <row r="4">
      <c r="A4" s="5" t="inlineStr">
        <is>
          <t>产品的事</t>
        </is>
      </c>
      <c r="B4" s="5">
        <f>COUNTIF('01_打标明细'!$N$2:$N$95,"产品的事")</f>
        <v/>
      </c>
      <c r="C4" s="16">
        <f>B4/$B$10</f>
        <v/>
      </c>
      <c r="D4" s="5" t="inlineStr">
        <is>
          <t>产品 · 研发/品控</t>
        </is>
      </c>
      <c r="E4" s="5" t="inlineStr">
        <is>
          <t>改结构、改材料、大货抽检</t>
        </is>
      </c>
    </row>
    <row r="5">
      <c r="A5" s="5" t="inlineStr">
        <is>
          <t>页面的事</t>
        </is>
      </c>
      <c r="B5" s="5">
        <f>COUNTIF('01_打标明细'!$N$2:$N$95,"页面的事")</f>
        <v/>
      </c>
      <c r="C5" s="16">
        <f>B5/$B$10</f>
        <v/>
      </c>
      <c r="D5" s="5" t="inlineStr">
        <is>
          <t>运营 · 页面</t>
        </is>
      </c>
      <c r="E5" s="5" t="inlineStr">
        <is>
          <t>校准规格表、收敛宣称、补图文</t>
        </is>
      </c>
    </row>
    <row r="6">
      <c r="A6" s="5" t="inlineStr">
        <is>
          <t>客户自己选错</t>
        </is>
      </c>
      <c r="B6" s="5">
        <f>COUNTIF('01_打标明细'!$N$2:$N$95,"客户自己选错")</f>
        <v/>
      </c>
      <c r="C6" s="16">
        <f>B6/$B$10</f>
        <v/>
      </c>
      <c r="D6" s="5" t="inlineStr">
        <is>
          <t>不算产品问题</t>
        </is>
      </c>
      <c r="E6" s="5" t="inlineStr">
        <is>
          <t>用来算能挽回多少，优化换档引导</t>
        </is>
      </c>
    </row>
    <row r="7">
      <c r="A7" s="5" t="inlineStr">
        <is>
          <t>不该买这款</t>
        </is>
      </c>
      <c r="B7" s="5">
        <f>COUNTIF('01_打标明细'!$N$2:$N$95,"不该买这款")</f>
        <v/>
      </c>
      <c r="C7" s="16">
        <f>B7/$B$10</f>
        <v/>
      </c>
      <c r="D7" s="5" t="inlineStr">
        <is>
          <t>品牌 · 定位</t>
        </is>
      </c>
      <c r="E7" s="5" t="inlineStr">
        <is>
          <t>重新说清楚卖给谁</t>
        </is>
      </c>
    </row>
    <row r="8">
      <c r="A8" s="5" t="inlineStr">
        <is>
          <t>说不清</t>
        </is>
      </c>
      <c r="B8" s="5">
        <f>COUNTIF('01_打标明细'!$N$2:$N$95,"说不清")</f>
        <v/>
      </c>
      <c r="C8" s="16">
        <f>B8/$B$10</f>
        <v/>
      </c>
      <c r="D8" s="5" t="inlineStr">
        <is>
          <t>—</t>
        </is>
      </c>
      <c r="E8" s="5" t="inlineStr">
        <is>
          <t>不拿来做决定，但占比本身是结论</t>
        </is>
      </c>
    </row>
    <row r="9">
      <c r="A9" s="5" t="inlineStr">
        <is>
          <t>其他</t>
        </is>
      </c>
      <c r="B9" s="5">
        <f>COUNTIF('01_打标明细'!$N$2:$N$95,"其他")</f>
        <v/>
      </c>
      <c r="C9" s="16">
        <f>B9/$B$10</f>
        <v/>
      </c>
      <c r="D9" s="5" t="inlineStr">
        <is>
          <t>—</t>
        </is>
      </c>
      <c r="E9" s="5" t="inlineStr">
        <is>
          <t>包装、到货状态等</t>
        </is>
      </c>
    </row>
    <row r="10">
      <c r="A10" s="17" t="inlineStr">
        <is>
          <t>合计</t>
        </is>
      </c>
      <c r="B10" s="17">
        <f>SUM(B4:B9)</f>
        <v/>
      </c>
      <c r="C10" s="18" t="n"/>
      <c r="D10" s="17" t="n"/>
      <c r="E10" s="17" t="n"/>
    </row>
    <row r="12">
      <c r="A12" s="19" t="inlineStr">
        <is>
          <t>多严重</t>
        </is>
      </c>
    </row>
    <row r="13">
      <c r="A13" s="4" t="inlineStr">
        <is>
          <t>多严重</t>
        </is>
      </c>
      <c r="B13" s="4" t="inlineStr">
        <is>
          <t>条数</t>
        </is>
      </c>
      <c r="C13" s="4" t="inlineStr">
        <is>
          <t>占比</t>
        </is>
      </c>
    </row>
    <row r="14">
      <c r="A14" s="10" t="inlineStr">
        <is>
          <t>严重</t>
        </is>
      </c>
      <c r="B14" s="10">
        <f>COUNTIF('01_打标明细'!$O$2:$O$95,"严重")</f>
        <v/>
      </c>
      <c r="C14" s="12">
        <f>B14/94</f>
        <v/>
      </c>
    </row>
    <row r="15">
      <c r="A15" s="10" t="inlineStr">
        <is>
          <t>中度</t>
        </is>
      </c>
      <c r="B15" s="10">
        <f>COUNTIF('01_打标明细'!$O$2:$O$95,"中度")</f>
        <v/>
      </c>
      <c r="C15" s="12">
        <f>B15/94</f>
        <v/>
      </c>
    </row>
    <row r="16">
      <c r="A16" s="10" t="inlineStr">
        <is>
          <t>轻度</t>
        </is>
      </c>
      <c r="B16" s="10">
        <f>COUNTIF('01_打标明细'!$O$2:$O$95,"轻度")</f>
        <v/>
      </c>
      <c r="C16" s="12">
        <f>B16/94</f>
        <v/>
      </c>
    </row>
    <row r="19">
      <c r="A19" s="19" t="inlineStr">
        <is>
          <t>能否挽回</t>
        </is>
      </c>
    </row>
    <row r="20">
      <c r="A20" s="4" t="inlineStr">
        <is>
          <t>能否挽回</t>
        </is>
      </c>
      <c r="B20" s="4" t="inlineStr">
        <is>
          <t>条数</t>
        </is>
      </c>
      <c r="C20" s="4" t="inlineStr">
        <is>
          <t>占比</t>
        </is>
      </c>
    </row>
    <row r="21">
      <c r="A21" s="10" t="inlineStr">
        <is>
          <t>是</t>
        </is>
      </c>
      <c r="B21" s="10">
        <f>COUNTIF('01_打标明细'!$P$2:$P$95,"是")</f>
        <v/>
      </c>
      <c r="C21" s="12">
        <f>B21/94</f>
        <v/>
      </c>
    </row>
    <row r="22">
      <c r="A22" s="10" t="inlineStr">
        <is>
          <t>否</t>
        </is>
      </c>
      <c r="B22" s="10">
        <f>COUNTIF('01_打标明细'!$P$2:$P$95,"否")</f>
        <v/>
      </c>
      <c r="C22" s="12">
        <f>B22/94</f>
        <v/>
      </c>
    </row>
    <row r="25">
      <c r="A25" s="19" t="inlineStr">
        <is>
          <t>量小不等于不要紧：每一大类里有几条是「严重」</t>
        </is>
      </c>
    </row>
    <row r="26">
      <c r="A26" s="4" t="inlineStr">
        <is>
          <t>大类</t>
        </is>
      </c>
      <c r="B26" s="4" t="inlineStr">
        <is>
          <t>条数</t>
        </is>
      </c>
      <c r="C26" s="4" t="inlineStr">
        <is>
          <t>其中严重</t>
        </is>
      </c>
      <c r="D26" s="4" t="inlineStr">
        <is>
          <t>占全部严重</t>
        </is>
      </c>
    </row>
    <row r="27">
      <c r="A27" s="10" t="inlineStr">
        <is>
          <t>高度与贴合</t>
        </is>
      </c>
      <c r="B27" s="10">
        <f>COUNTIF('01_打标明细'!$I$2:$I$95,"高度与贴合")</f>
        <v/>
      </c>
      <c r="C27" s="10">
        <f>COUNTIFS('01_打标明细'!$I$2:$I$95,"高度与贴合",'01_打标明细'!$O$2:$O$95,"严重")</f>
        <v/>
      </c>
      <c r="D27" s="12">
        <f>IF(COUNTIF('01_打标明细'!$O$2:$O$95,"严重")=0,0,C27/COUNTIF('01_打标明细'!$O$2:$O$95,"严重"))</f>
        <v/>
      </c>
    </row>
    <row r="28">
      <c r="A28" s="10" t="inlineStr">
        <is>
          <t>防滑与固定</t>
        </is>
      </c>
      <c r="B28" s="10">
        <f>COUNTIF('01_打标明细'!$I$2:$I$95,"防滑与固定")</f>
        <v/>
      </c>
      <c r="C28" s="10">
        <f>COUNTIFS('01_打标明细'!$I$2:$I$95,"防滑与固定",'01_打标明细'!$O$2:$O$95,"严重")</f>
        <v/>
      </c>
      <c r="D28" s="12">
        <f>IF(COUNTIF('01_打标明细'!$O$2:$O$95,"严重")=0,0,C28/COUNTIF('01_打标明细'!$O$2:$O$95,"严重"))</f>
        <v/>
      </c>
    </row>
    <row r="29">
      <c r="A29" s="10" t="inlineStr">
        <is>
          <t>兼容与收纳</t>
        </is>
      </c>
      <c r="B29" s="10">
        <f>COUNTIF('01_打标明细'!$I$2:$I$95,"兼容与收纳")</f>
        <v/>
      </c>
      <c r="C29" s="10">
        <f>COUNTIFS('01_打标明细'!$I$2:$I$95,"兼容与收纳",'01_打标明细'!$O$2:$O$95,"严重")</f>
        <v/>
      </c>
      <c r="D29" s="12">
        <f>IF(COUNTIF('01_打标明细'!$O$2:$O$95,"严重")=0,0,C29/COUNTIF('01_打标明细'!$O$2:$O$95,"严重"))</f>
        <v/>
      </c>
    </row>
    <row r="30">
      <c r="A30" s="10" t="inlineStr">
        <is>
          <t>佩戴与外观</t>
        </is>
      </c>
      <c r="B30" s="10">
        <f>COUNTIF('01_打标明细'!$I$2:$I$95,"佩戴与外观")</f>
        <v/>
      </c>
      <c r="C30" s="10">
        <f>COUNTIFS('01_打标明细'!$I$2:$I$95,"佩戴与外观",'01_打标明细'!$O$2:$O$95,"严重")</f>
        <v/>
      </c>
      <c r="D30" s="12">
        <f>IF(COUNTIF('01_打标明细'!$O$2:$O$95,"严重")=0,0,C30/COUNTIF('01_打标明细'!$O$2:$O$95,"严重"))</f>
        <v/>
      </c>
    </row>
    <row r="31">
      <c r="A31" s="10" t="inlineStr">
        <is>
          <t>材质与做工</t>
        </is>
      </c>
      <c r="B31" s="10">
        <f>COUNTIF('01_打标明细'!$I$2:$I$95,"材质与做工")</f>
        <v/>
      </c>
      <c r="C31" s="10">
        <f>COUNTIFS('01_打标明细'!$I$2:$I$95,"材质与做工",'01_打标明细'!$O$2:$O$95,"严重")</f>
        <v/>
      </c>
      <c r="D31" s="12">
        <f>IF(COUNTIF('01_打标明细'!$O$2:$O$95,"严重")=0,0,C31/COUNTIF('01_打标明细'!$O$2:$O$95,"严重"))</f>
        <v/>
      </c>
    </row>
    <row r="32">
      <c r="A32" s="10" t="inlineStr">
        <is>
          <t>综合质量</t>
        </is>
      </c>
      <c r="B32" s="10">
        <f>COUNTIF('01_打标明细'!$I$2:$I$95,"综合质量")</f>
        <v/>
      </c>
      <c r="C32" s="10">
        <f>COUNTIFS('01_打标明细'!$I$2:$I$95,"综合质量",'01_打标明细'!$O$2:$O$95,"严重")</f>
        <v/>
      </c>
      <c r="D32" s="12">
        <f>IF(COUNTIF('01_打标明细'!$O$2:$O$95,"严重")=0,0,C32/COUNTIF('01_打标明细'!$O$2:$O$95,"严重"))</f>
        <v/>
      </c>
    </row>
    <row r="33">
      <c r="A33" s="10" t="inlineStr">
        <is>
          <t>非产品因素</t>
        </is>
      </c>
      <c r="B33" s="10">
        <f>COUNTIF('01_打标明细'!$I$2:$I$95,"非产品因素")</f>
        <v/>
      </c>
      <c r="C33" s="10">
        <f>COUNTIFS('01_打标明细'!$I$2:$I$95,"非产品因素",'01_打标明细'!$O$2:$O$95,"严重")</f>
        <v/>
      </c>
      <c r="D33" s="12">
        <f>IF(COUNTIF('01_打标明细'!$O$2:$O$95,"严重")=0,0,C33/COUNTIF('01_打标明细'!$O$2:$O$95,"严重"))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细项 × 规格（数字=条数）｜用来判断：是某个规格的事，还是整条线的事。分组小的格子只看方向</t>
        </is>
      </c>
    </row>
    <row r="3">
      <c r="A3" s="4" t="inlineStr">
        <is>
          <t>细项</t>
        </is>
      </c>
      <c r="B3" s="4" t="inlineStr">
        <is>
          <t>标准款-1.8mm</t>
        </is>
      </c>
      <c r="C3" s="4" t="inlineStr">
        <is>
          <t>标准款-2.5mm</t>
        </is>
      </c>
      <c r="D3" s="4" t="inlineStr">
        <is>
          <t>大号款-1.8mm</t>
        </is>
      </c>
      <c r="E3" s="4" t="inlineStr">
        <is>
          <t>大号款-2.5mm</t>
        </is>
      </c>
      <c r="F3" s="4" t="inlineStr">
        <is>
          <t>合计</t>
        </is>
      </c>
    </row>
    <row r="4">
      <c r="A4" s="10" t="inlineStr">
        <is>
          <t>整体高度</t>
        </is>
      </c>
      <c r="B4" s="10">
        <f>SUMPRODUCT(--ISNUMBER(SEARCH("整体高度",'01_打标明细'!$J$2:$J$95)),--('01_打标明细'!$E$2:$E$95="标准款-1.8mm"))</f>
        <v/>
      </c>
      <c r="C4" s="10">
        <f>SUMPRODUCT(--ISNUMBER(SEARCH("整体高度",'01_打标明细'!$J$2:$J$95)),--('01_打标明细'!$E$2:$E$95="标准款-2.5mm"))</f>
        <v/>
      </c>
      <c r="D4" s="10">
        <f>SUMPRODUCT(--ISNUMBER(SEARCH("整体高度",'01_打标明细'!$J$2:$J$95)),--('01_打标明细'!$E$2:$E$95="大号款-1.8mm"))</f>
        <v/>
      </c>
      <c r="E4" s="10">
        <f>SUMPRODUCT(--ISNUMBER(SEARCH("整体高度",'01_打标明细'!$J$2:$J$95)),--('01_打标明细'!$E$2:$E$95="大号款-2.5mm"))</f>
        <v/>
      </c>
      <c r="F4" s="10">
        <f>SUM(B4:E4)</f>
        <v/>
      </c>
    </row>
    <row r="5">
      <c r="A5" s="10" t="inlineStr">
        <is>
          <t>宽度与覆盖</t>
        </is>
      </c>
      <c r="B5" s="10">
        <f>SUMPRODUCT(--ISNUMBER(SEARCH("宽度与覆盖",'01_打标明细'!$J$2:$J$95)),--('01_打标明细'!$E$2:$E$95="标准款-1.8mm"))</f>
        <v/>
      </c>
      <c r="C5" s="10">
        <f>SUMPRODUCT(--ISNUMBER(SEARCH("宽度与覆盖",'01_打标明细'!$J$2:$J$95)),--('01_打标明细'!$E$2:$E$95="标准款-2.5mm"))</f>
        <v/>
      </c>
      <c r="D5" s="10">
        <f>SUMPRODUCT(--ISNUMBER(SEARCH("宽度与覆盖",'01_打标明细'!$J$2:$J$95)),--('01_打标明细'!$E$2:$E$95="大号款-1.8mm"))</f>
        <v/>
      </c>
      <c r="E5" s="10">
        <f>SUMPRODUCT(--ISNUMBER(SEARCH("宽度与覆盖",'01_打标明细'!$J$2:$J$95)),--('01_打标明细'!$E$2:$E$95="大号款-2.5mm"))</f>
        <v/>
      </c>
      <c r="F5" s="10">
        <f>SUM(B5:E5)</f>
        <v/>
      </c>
    </row>
    <row r="6">
      <c r="A6" s="10" t="inlineStr">
        <is>
          <t>与预期(泛指)</t>
        </is>
      </c>
      <c r="B6" s="10">
        <f>SUMPRODUCT(--ISNUMBER(SEARCH("与预期(泛指)",'01_打标明细'!$J$2:$J$95)),--('01_打标明细'!$E$2:$E$95="标准款-1.8mm"))</f>
        <v/>
      </c>
      <c r="C6" s="10">
        <f>SUMPRODUCT(--ISNUMBER(SEARCH("与预期(泛指)",'01_打标明细'!$J$2:$J$95)),--('01_打标明细'!$E$2:$E$95="标准款-2.5mm"))</f>
        <v/>
      </c>
      <c r="D6" s="10">
        <f>SUMPRODUCT(--ISNUMBER(SEARCH("与预期(泛指)",'01_打标明细'!$J$2:$J$95)),--('01_打标明细'!$E$2:$E$95="大号款-1.8mm"))</f>
        <v/>
      </c>
      <c r="E6" s="10">
        <f>SUMPRODUCT(--ISNUMBER(SEARCH("与预期(泛指)",'01_打标明细'!$J$2:$J$95)),--('01_打标明细'!$E$2:$E$95="大号款-2.5mm"))</f>
        <v/>
      </c>
      <c r="F6" s="10">
        <f>SUM(B6:E6)</f>
        <v/>
      </c>
    </row>
    <row r="7">
      <c r="A7" s="10" t="inlineStr">
        <is>
          <t>背胶牢固度</t>
        </is>
      </c>
      <c r="B7" s="10">
        <f>SUMPRODUCT(--ISNUMBER(SEARCH("背胶牢固度",'01_打标明细'!$J$2:$J$95)),--('01_打标明细'!$E$2:$E$95="标准款-1.8mm"))</f>
        <v/>
      </c>
      <c r="C7" s="10">
        <f>SUMPRODUCT(--ISNUMBER(SEARCH("背胶牢固度",'01_打标明细'!$J$2:$J$95)),--('01_打标明细'!$E$2:$E$95="标准款-2.5mm"))</f>
        <v/>
      </c>
      <c r="D7" s="10">
        <f>SUMPRODUCT(--ISNUMBER(SEARCH("背胶牢固度",'01_打标明细'!$J$2:$J$95)),--('01_打标明细'!$E$2:$E$95="大号款-1.8mm"))</f>
        <v/>
      </c>
      <c r="E7" s="10">
        <f>SUMPRODUCT(--ISNUMBER(SEARCH("背胶牢固度",'01_打标明细'!$J$2:$J$95)),--('01_打标明细'!$E$2:$E$95="大号款-2.5mm"))</f>
        <v/>
      </c>
      <c r="F7" s="10">
        <f>SUM(B7:E7)</f>
        <v/>
      </c>
    </row>
    <row r="8">
      <c r="A8" s="10" t="inlineStr">
        <is>
          <t>选档指引</t>
        </is>
      </c>
      <c r="B8" s="10">
        <f>SUMPRODUCT(--ISNUMBER(SEARCH("选档指引",'01_打标明细'!$J$2:$J$95)),--('01_打标明细'!$E$2:$E$95="标准款-1.8mm"))</f>
        <v/>
      </c>
      <c r="C8" s="10">
        <f>SUMPRODUCT(--ISNUMBER(SEARCH("选档指引",'01_打标明细'!$J$2:$J$95)),--('01_打标明细'!$E$2:$E$95="标准款-2.5mm"))</f>
        <v/>
      </c>
      <c r="D8" s="10">
        <f>SUMPRODUCT(--ISNUMBER(SEARCH("选档指引",'01_打标明细'!$J$2:$J$95)),--('01_打标明细'!$E$2:$E$95="大号款-1.8mm"))</f>
        <v/>
      </c>
      <c r="E8" s="10">
        <f>SUMPRODUCT(--ISNUMBER(SEARCH("选档指引",'01_打标明细'!$J$2:$J$95)),--('01_打标明细'!$E$2:$E$95="大号款-2.5mm"))</f>
        <v/>
      </c>
      <c r="F8" s="10">
        <f>SUM(B8:E8)</f>
        <v/>
      </c>
    </row>
    <row r="9">
      <c r="A9" s="10" t="inlineStr">
        <is>
          <t>发货准确</t>
        </is>
      </c>
      <c r="B9" s="10">
        <f>SUMPRODUCT(--ISNUMBER(SEARCH("发货准确",'01_打标明细'!$J$2:$J$95)),--('01_打标明细'!$E$2:$E$95="标准款-1.8mm"))</f>
        <v/>
      </c>
      <c r="C9" s="10">
        <f>SUMPRODUCT(--ISNUMBER(SEARCH("发货准确",'01_打标明细'!$J$2:$J$95)),--('01_打标明细'!$E$2:$E$95="标准款-2.5mm"))</f>
        <v/>
      </c>
      <c r="D9" s="10">
        <f>SUMPRODUCT(--ISNUMBER(SEARCH("发货准确",'01_打标明细'!$J$2:$J$95)),--('01_打标明细'!$E$2:$E$95="大号款-1.8mm"))</f>
        <v/>
      </c>
      <c r="E9" s="10">
        <f>SUMPRODUCT(--ISNUMBER(SEARCH("发货准确",'01_打标明细'!$J$2:$J$95)),--('01_打标明细'!$E$2:$E$95="大号款-2.5mm"))</f>
        <v/>
      </c>
      <c r="F9" s="10">
        <f>SUM(B9:E9)</f>
        <v/>
      </c>
    </row>
    <row r="10">
      <c r="A10" s="10" t="inlineStr">
        <is>
          <t>合适度(没说方向)</t>
        </is>
      </c>
      <c r="B10" s="10">
        <f>SUMPRODUCT(--ISNUMBER(SEARCH("合适度(没说方向)",'01_打标明细'!$J$2:$J$95)),--('01_打标明细'!$E$2:$E$95="标准款-1.8mm"))</f>
        <v/>
      </c>
      <c r="C10" s="10">
        <f>SUMPRODUCT(--ISNUMBER(SEARCH("合适度(没说方向)",'01_打标明细'!$J$2:$J$95)),--('01_打标明细'!$E$2:$E$95="标准款-2.5mm"))</f>
        <v/>
      </c>
      <c r="D10" s="10">
        <f>SUMPRODUCT(--ISNUMBER(SEARCH("合适度(没说方向)",'01_打标明细'!$J$2:$J$95)),--('01_打标明细'!$E$2:$E$95="大号款-1.8mm"))</f>
        <v/>
      </c>
      <c r="E10" s="10">
        <f>SUMPRODUCT(--ISNUMBER(SEARCH("合适度(没说方向)",'01_打标明细'!$J$2:$J$95)),--('01_打标明细'!$E$2:$E$95="大号款-2.5mm"))</f>
        <v/>
      </c>
      <c r="F10" s="10">
        <f>SUM(B10:E10)</f>
        <v/>
      </c>
    </row>
    <row r="11">
      <c r="A11" s="10" t="inlineStr">
        <is>
          <t>防滑效果(泛指)</t>
        </is>
      </c>
      <c r="B11" s="10">
        <f>SUMPRODUCT(--ISNUMBER(SEARCH("防滑效果(泛指)",'01_打标明细'!$J$2:$J$95)),--('01_打标明细'!$E$2:$E$95="标准款-1.8mm"))</f>
        <v/>
      </c>
      <c r="C11" s="10">
        <f>SUMPRODUCT(--ISNUMBER(SEARCH("防滑效果(泛指)",'01_打标明细'!$J$2:$J$95)),--('01_打标明细'!$E$2:$E$95="标准款-2.5mm"))</f>
        <v/>
      </c>
      <c r="D11" s="10">
        <f>SUMPRODUCT(--ISNUMBER(SEARCH("防滑效果(泛指)",'01_打标明细'!$J$2:$J$95)),--('01_打标明细'!$E$2:$E$95="大号款-1.8mm"))</f>
        <v/>
      </c>
      <c r="E11" s="10">
        <f>SUMPRODUCT(--ISNUMBER(SEARCH("防滑效果(泛指)",'01_打标明细'!$J$2:$J$95)),--('01_打标明细'!$E$2:$E$95="大号款-2.5mm"))</f>
        <v/>
      </c>
      <c r="F11" s="10">
        <f>SUM(B11:E11)</f>
        <v/>
      </c>
    </row>
    <row r="12">
      <c r="A12" s="10" t="inlineStr">
        <is>
          <t>充电盒收纳</t>
        </is>
      </c>
      <c r="B12" s="10">
        <f>SUMPRODUCT(--ISNUMBER(SEARCH("充电盒收纳",'01_打标明细'!$J$2:$J$95)),--('01_打标明细'!$E$2:$E$95="标准款-1.8mm"))</f>
        <v/>
      </c>
      <c r="C12" s="10">
        <f>SUMPRODUCT(--ISNUMBER(SEARCH("充电盒收纳",'01_打标明细'!$J$2:$J$95)),--('01_打标明细'!$E$2:$E$95="标准款-2.5mm"))</f>
        <v/>
      </c>
      <c r="D12" s="10">
        <f>SUMPRODUCT(--ISNUMBER(SEARCH("充电盒收纳",'01_打标明细'!$J$2:$J$95)),--('01_打标明细'!$E$2:$E$95="大号款-1.8mm"))</f>
        <v/>
      </c>
      <c r="E12" s="10">
        <f>SUMPRODUCT(--ISNUMBER(SEARCH("充电盒收纳",'01_打标明细'!$J$2:$J$95)),--('01_打标明细'!$E$2:$E$95="大号款-2.5mm"))</f>
        <v/>
      </c>
      <c r="F12" s="10">
        <f>SUM(B12:E12)</f>
        <v/>
      </c>
    </row>
    <row r="13">
      <c r="A13" s="10" t="inlineStr">
        <is>
          <t>机型适配</t>
        </is>
      </c>
      <c r="B13" s="10">
        <f>SUMPRODUCT(--ISNUMBER(SEARCH("机型适配",'01_打标明细'!$J$2:$J$95)),--('01_打标明细'!$E$2:$E$95="标准款-1.8mm"))</f>
        <v/>
      </c>
      <c r="C13" s="10">
        <f>SUMPRODUCT(--ISNUMBER(SEARCH("机型适配",'01_打标明细'!$J$2:$J$95)),--('01_打标明细'!$E$2:$E$95="标准款-2.5mm"))</f>
        <v/>
      </c>
      <c r="D13" s="10">
        <f>SUMPRODUCT(--ISNUMBER(SEARCH("机型适配",'01_打标明细'!$J$2:$J$95)),--('01_打标明细'!$E$2:$E$95="大号款-1.8mm"))</f>
        <v/>
      </c>
      <c r="E13" s="10">
        <f>SUMPRODUCT(--ISNUMBER(SEARCH("机型适配",'01_打标明细'!$J$2:$J$95)),--('01_打标明细'!$E$2:$E$95="大号款-2.5mm"))</f>
        <v/>
      </c>
      <c r="F13" s="10">
        <f>SUM(B13:E13)</f>
        <v/>
      </c>
    </row>
    <row r="14">
      <c r="A14" s="10" t="inlineStr">
        <is>
          <t>硅胶软硬</t>
        </is>
      </c>
      <c r="B14" s="10">
        <f>SUMPRODUCT(--ISNUMBER(SEARCH("硅胶软硬",'01_打标明细'!$J$2:$J$95)),--('01_打标明细'!$E$2:$E$95="标准款-1.8mm"))</f>
        <v/>
      </c>
      <c r="C14" s="10">
        <f>SUMPRODUCT(--ISNUMBER(SEARCH("硅胶软硬",'01_打标明细'!$J$2:$J$95)),--('01_打标明细'!$E$2:$E$95="标准款-2.5mm"))</f>
        <v/>
      </c>
      <c r="D14" s="10">
        <f>SUMPRODUCT(--ISNUMBER(SEARCH("硅胶软硬",'01_打标明细'!$J$2:$J$95)),--('01_打标明细'!$E$2:$E$95="大号款-1.8mm"))</f>
        <v/>
      </c>
      <c r="E14" s="10">
        <f>SUMPRODUCT(--ISNUMBER(SEARCH("硅胶软硬",'01_打标明细'!$J$2:$J$95)),--('01_打标明细'!$E$2:$E$95="大号款-2.5mm"))</f>
        <v/>
      </c>
      <c r="F14" s="10">
        <f>SUM(B14:E14)</f>
        <v/>
      </c>
    </row>
    <row r="15">
      <c r="A15" s="10" t="inlineStr">
        <is>
          <t>兼容宣称兑现度</t>
        </is>
      </c>
      <c r="B15" s="10">
        <f>SUMPRODUCT(--ISNUMBER(SEARCH("兼容宣称兑现度",'01_打标明细'!$J$2:$J$95)),--('01_打标明细'!$E$2:$E$95="标准款-1.8mm"))</f>
        <v/>
      </c>
      <c r="C15" s="10">
        <f>SUMPRODUCT(--ISNUMBER(SEARCH("兼容宣称兑现度",'01_打标明细'!$J$2:$J$95)),--('01_打标明细'!$E$2:$E$95="标准款-2.5mm"))</f>
        <v/>
      </c>
      <c r="D15" s="10">
        <f>SUMPRODUCT(--ISNUMBER(SEARCH("兼容宣称兑现度",'01_打标明细'!$J$2:$J$95)),--('01_打标明细'!$E$2:$E$95="大号款-1.8mm"))</f>
        <v/>
      </c>
      <c r="E15" s="10">
        <f>SUMPRODUCT(--ISNUMBER(SEARCH("兼容宣称兑现度",'01_打标明细'!$J$2:$J$95)),--('01_打标明细'!$E$2:$E$95="大号款-2.5mm"))</f>
        <v/>
      </c>
      <c r="F15" s="10">
        <f>SUM(B15:E15)</f>
        <v/>
      </c>
    </row>
    <row r="16">
      <c r="A16" s="10" t="inlineStr">
        <is>
          <t>摄像头视角</t>
        </is>
      </c>
      <c r="B16" s="10">
        <f>SUMPRODUCT(--ISNUMBER(SEARCH("摄像头视角",'01_打标明细'!$J$2:$J$95)),--('01_打标明细'!$E$2:$E$95="标准款-1.8mm"))</f>
        <v/>
      </c>
      <c r="C16" s="10">
        <f>SUMPRODUCT(--ISNUMBER(SEARCH("摄像头视角",'01_打标明细'!$J$2:$J$95)),--('01_打标明细'!$E$2:$E$95="标准款-2.5mm"))</f>
        <v/>
      </c>
      <c r="D16" s="10">
        <f>SUMPRODUCT(--ISNUMBER(SEARCH("摄像头视角",'01_打标明细'!$J$2:$J$95)),--('01_打标明细'!$E$2:$E$95="大号款-1.8mm"))</f>
        <v/>
      </c>
      <c r="E16" s="10">
        <f>SUMPRODUCT(--ISNUMBER(SEARCH("摄像头视角",'01_打标明细'!$J$2:$J$95)),--('01_打标明细'!$E$2:$E$95="大号款-2.5mm"))</f>
        <v/>
      </c>
      <c r="F16" s="10">
        <f>SUM(B16:E16)</f>
        <v/>
      </c>
    </row>
    <row r="17">
      <c r="A17" s="10" t="inlineStr">
        <is>
          <t>贴片式形态(这一款特有)</t>
        </is>
      </c>
      <c r="B17" s="10">
        <f>SUMPRODUCT(--ISNUMBER(SEARCH("贴片式形态(这一款特有)",'01_打标明细'!$J$2:$J$95)),--('01_打标明细'!$E$2:$E$95="标准款-1.8mm"))</f>
        <v/>
      </c>
      <c r="C17" s="10">
        <f>SUMPRODUCT(--ISNUMBER(SEARCH("贴片式形态(这一款特有)",'01_打标明细'!$J$2:$J$95)),--('01_打标明细'!$E$2:$E$95="标准款-2.5mm"))</f>
        <v/>
      </c>
      <c r="D17" s="10">
        <f>SUMPRODUCT(--ISNUMBER(SEARCH("贴片式形态(这一款特有)",'01_打标明细'!$J$2:$J$95)),--('01_打标明细'!$E$2:$E$95="大号款-1.8mm"))</f>
        <v/>
      </c>
      <c r="E17" s="10">
        <f>SUMPRODUCT(--ISNUMBER(SEARCH("贴片式形态(这一款特有)",'01_打标明细'!$J$2:$J$95)),--('01_打标明细'!$E$2:$E$95="大号款-2.5mm"))</f>
        <v/>
      </c>
      <c r="F17" s="10">
        <f>SUM(B17:E17)</f>
        <v/>
      </c>
    </row>
    <row r="18">
      <c r="A18" s="10" t="inlineStr">
        <is>
          <t>装上后充电</t>
        </is>
      </c>
      <c r="B18" s="10">
        <f>SUMPRODUCT(--ISNUMBER(SEARCH("装上后充电",'01_打标明细'!$J$2:$J$95)),--('01_打标明细'!$E$2:$E$95="标准款-1.8mm"))</f>
        <v/>
      </c>
      <c r="C18" s="10">
        <f>SUMPRODUCT(--ISNUMBER(SEARCH("装上后充电",'01_打标明细'!$J$2:$J$95)),--('01_打标明细'!$E$2:$E$95="标准款-2.5mm"))</f>
        <v/>
      </c>
      <c r="D18" s="10">
        <f>SUMPRODUCT(--ISNUMBER(SEARCH("装上后充电",'01_打标明细'!$J$2:$J$95)),--('01_打标明细'!$E$2:$E$95="大号款-1.8mm"))</f>
        <v/>
      </c>
      <c r="E18" s="10">
        <f>SUMPRODUCT(--ISNUMBER(SEARCH("装上后充电",'01_打标明细'!$J$2:$J$95)),--('01_打标明细'!$E$2:$E$95="大号款-2.5mm"))</f>
        <v/>
      </c>
      <c r="F18" s="10">
        <f>SUM(B18:E18)</f>
        <v/>
      </c>
    </row>
    <row r="19">
      <c r="A19" s="10" t="inlineStr">
        <is>
          <t>防滑宣称兑现度</t>
        </is>
      </c>
      <c r="B19" s="10">
        <f>SUMPRODUCT(--ISNUMBER(SEARCH("防滑宣称兑现度",'01_打标明细'!$J$2:$J$95)),--('01_打标明细'!$E$2:$E$95="标准款-1.8mm"))</f>
        <v/>
      </c>
      <c r="C19" s="10">
        <f>SUMPRODUCT(--ISNUMBER(SEARCH("防滑宣称兑现度",'01_打标明细'!$J$2:$J$95)),--('01_打标明细'!$E$2:$E$95="标准款-2.5mm"))</f>
        <v/>
      </c>
      <c r="D19" s="10">
        <f>SUMPRODUCT(--ISNUMBER(SEARCH("防滑宣称兑现度",'01_打标明细'!$J$2:$J$95)),--('01_打标明细'!$E$2:$E$95="大号款-1.8mm"))</f>
        <v/>
      </c>
      <c r="E19" s="10">
        <f>SUMPRODUCT(--ISNUMBER(SEARCH("防滑宣称兑现度",'01_打标明细'!$J$2:$J$95)),--('01_打标明细'!$E$2:$E$95="大号款-2.5mm"))</f>
        <v/>
      </c>
      <c r="F19" s="10">
        <f>SUM(B19:E19)</f>
        <v/>
      </c>
    </row>
    <row r="20">
      <c r="A20" s="10" t="inlineStr">
        <is>
          <t>质量(泛指)</t>
        </is>
      </c>
      <c r="B20" s="10">
        <f>SUMPRODUCT(--ISNUMBER(SEARCH("质量(泛指)",'01_打标明细'!$J$2:$J$95)),--('01_打标明细'!$E$2:$E$95="标准款-1.8mm"))</f>
        <v/>
      </c>
      <c r="C20" s="10">
        <f>SUMPRODUCT(--ISNUMBER(SEARCH("质量(泛指)",'01_打标明细'!$J$2:$J$95)),--('01_打标明细'!$E$2:$E$95="标准款-2.5mm"))</f>
        <v/>
      </c>
      <c r="D20" s="10">
        <f>SUMPRODUCT(--ISNUMBER(SEARCH("质量(泛指)",'01_打标明细'!$J$2:$J$95)),--('01_打标明细'!$E$2:$E$95="大号款-1.8mm"))</f>
        <v/>
      </c>
      <c r="E20" s="10">
        <f>SUMPRODUCT(--ISNUMBER(SEARCH("质量(泛指)",'01_打标明细'!$J$2:$J$95)),--('01_打标明细'!$E$2:$E$95="大号款-2.5mm"))</f>
        <v/>
      </c>
      <c r="F20" s="10">
        <f>SUM(B20:E20)</f>
        <v/>
      </c>
    </row>
    <row r="21">
      <c r="A21" s="10" t="inlineStr">
        <is>
          <t>颜色与图片一致</t>
        </is>
      </c>
      <c r="B21" s="10">
        <f>SUMPRODUCT(--ISNUMBER(SEARCH("颜色与图片一致",'01_打标明细'!$J$2:$J$95)),--('01_打标明细'!$E$2:$E$95="标准款-1.8mm"))</f>
        <v/>
      </c>
      <c r="C21" s="10">
        <f>SUMPRODUCT(--ISNUMBER(SEARCH("颜色与图片一致",'01_打标明细'!$J$2:$J$95)),--('01_打标明细'!$E$2:$E$95="标准款-2.5mm"))</f>
        <v/>
      </c>
      <c r="D21" s="10">
        <f>SUMPRODUCT(--ISNUMBER(SEARCH("颜色与图片一致",'01_打标明细'!$J$2:$J$95)),--('01_打标明细'!$E$2:$E$95="大号款-1.8mm"))</f>
        <v/>
      </c>
      <c r="E21" s="10">
        <f>SUMPRODUCT(--ISNUMBER(SEARCH("颜色与图片一致",'01_打标明细'!$J$2:$J$95)),--('01_打标明细'!$E$2:$E$95="大号款-2.5mm"))</f>
        <v/>
      </c>
      <c r="F21" s="10">
        <f>SUM(B21:E21)</f>
        <v/>
      </c>
    </row>
    <row r="22">
      <c r="A22" s="10" t="inlineStr">
        <is>
          <t>出汗时防滑</t>
        </is>
      </c>
      <c r="B22" s="10">
        <f>SUMPRODUCT(--ISNUMBER(SEARCH("出汗时防滑",'01_打标明细'!$J$2:$J$95)),--('01_打标明细'!$E$2:$E$95="标准款-1.8mm"))</f>
        <v/>
      </c>
      <c r="C22" s="10">
        <f>SUMPRODUCT(--ISNUMBER(SEARCH("出汗时防滑",'01_打标明细'!$J$2:$J$95)),--('01_打标明细'!$E$2:$E$95="标准款-2.5mm"))</f>
        <v/>
      </c>
      <c r="D22" s="10">
        <f>SUMPRODUCT(--ISNUMBER(SEARCH("出汗时防滑",'01_打标明细'!$J$2:$J$95)),--('01_打标明细'!$E$2:$E$95="大号款-1.8mm"))</f>
        <v/>
      </c>
      <c r="E22" s="10">
        <f>SUMPRODUCT(--ISNUMBER(SEARCH("出汗时防滑",'01_打标明细'!$J$2:$J$95)),--('01_打标明细'!$E$2:$E$95="大号款-2.5mm"))</f>
        <v/>
      </c>
      <c r="F22" s="10">
        <f>SUM(B22:E22)</f>
        <v/>
      </c>
    </row>
    <row r="23">
      <c r="A23" s="10" t="inlineStr">
        <is>
          <t>耐黄变</t>
        </is>
      </c>
      <c r="B23" s="10">
        <f>SUMPRODUCT(--ISNUMBER(SEARCH("耐黄变",'01_打标明细'!$J$2:$J$95)),--('01_打标明细'!$E$2:$E$95="标准款-1.8mm"))</f>
        <v/>
      </c>
      <c r="C23" s="10">
        <f>SUMPRODUCT(--ISNUMBER(SEARCH("耐黄变",'01_打标明细'!$J$2:$J$95)),--('01_打标明细'!$E$2:$E$95="标准款-2.5mm"))</f>
        <v/>
      </c>
      <c r="D23" s="10">
        <f>SUMPRODUCT(--ISNUMBER(SEARCH("耐黄变",'01_打标明细'!$J$2:$J$95)),--('01_打标明细'!$E$2:$E$95="大号款-1.8mm"))</f>
        <v/>
      </c>
      <c r="E23" s="10">
        <f>SUMPRODUCT(--ISNUMBER(SEARCH("耐黄变",'01_打标明细'!$J$2:$J$95)),--('01_打标明细'!$E$2:$E$95="大号款-2.5mm"))</f>
        <v/>
      </c>
      <c r="F23" s="10">
        <f>SUM(B23:E23)</f>
        <v/>
      </c>
    </row>
    <row r="24">
      <c r="A24" s="10" t="inlineStr">
        <is>
          <t>值不值</t>
        </is>
      </c>
      <c r="B24" s="10">
        <f>SUMPRODUCT(--ISNUMBER(SEARCH("值不值",'01_打标明细'!$J$2:$J$95)),--('01_打标明细'!$E$2:$E$95="标准款-1.8mm"))</f>
        <v/>
      </c>
      <c r="C24" s="10">
        <f>SUMPRODUCT(--ISNUMBER(SEARCH("值不值",'01_打标明细'!$J$2:$J$95)),--('01_打标明细'!$E$2:$E$95="标准款-2.5mm"))</f>
        <v/>
      </c>
      <c r="D24" s="10">
        <f>SUMPRODUCT(--ISNUMBER(SEARCH("值不值",'01_打标明细'!$J$2:$J$95)),--('01_打标明细'!$E$2:$E$95="大号款-1.8mm"))</f>
        <v/>
      </c>
      <c r="E24" s="10">
        <f>SUMPRODUCT(--ISNUMBER(SEARCH("值不值",'01_打标明细'!$J$2:$J$95)),--('01_打标明细'!$E$2:$E$95="大号款-2.5mm"))</f>
        <v/>
      </c>
      <c r="F24" s="10">
        <f>SUM(B24:E24)</f>
        <v/>
      </c>
    </row>
    <row r="25">
      <c r="A25" s="10" t="inlineStr">
        <is>
          <t>撕下后留胶</t>
        </is>
      </c>
      <c r="B25" s="10">
        <f>SUMPRODUCT(--ISNUMBER(SEARCH("撕下后留胶",'01_打标明细'!$J$2:$J$95)),--('01_打标明细'!$E$2:$E$95="标准款-1.8mm"))</f>
        <v/>
      </c>
      <c r="C25" s="10">
        <f>SUMPRODUCT(--ISNUMBER(SEARCH("撕下后留胶",'01_打标明细'!$J$2:$J$95)),--('01_打标明细'!$E$2:$E$95="标准款-2.5mm"))</f>
        <v/>
      </c>
      <c r="D25" s="10">
        <f>SUMPRODUCT(--ISNUMBER(SEARCH("撕下后留胶",'01_打标明细'!$J$2:$J$95)),--('01_打标明细'!$E$2:$E$95="大号款-1.8mm"))</f>
        <v/>
      </c>
      <c r="E25" s="10">
        <f>SUMPRODUCT(--ISNUMBER(SEARCH("撕下后留胶",'01_打标明细'!$J$2:$J$95)),--('01_打标明细'!$E$2:$E$95="大号款-2.5mm"))</f>
        <v/>
      </c>
      <c r="F25" s="10">
        <f>SUM(B25:E25)</f>
        <v/>
      </c>
    </row>
    <row r="26">
      <c r="A26" s="10" t="inlineStr">
        <is>
          <t>边缘做工</t>
        </is>
      </c>
      <c r="B26" s="10">
        <f>SUMPRODUCT(--ISNUMBER(SEARCH("边缘做工",'01_打标明细'!$J$2:$J$95)),--('01_打标明细'!$E$2:$E$95="标准款-1.8mm"))</f>
        <v/>
      </c>
      <c r="C26" s="10">
        <f>SUMPRODUCT(--ISNUMBER(SEARCH("边缘做工",'01_打标明细'!$J$2:$J$95)),--('01_打标明细'!$E$2:$E$95="标准款-2.5mm"))</f>
        <v/>
      </c>
      <c r="D26" s="10">
        <f>SUMPRODUCT(--ISNUMBER(SEARCH("边缘做工",'01_打标明细'!$J$2:$J$95)),--('01_打标明细'!$E$2:$E$95="大号款-1.8mm"))</f>
        <v/>
      </c>
      <c r="E26" s="10">
        <f>SUMPRODUCT(--ISNUMBER(SEARCH("边缘做工",'01_打标明细'!$J$2:$J$95)),--('01_打标明细'!$E$2:$E$95="大号款-2.5mm"))</f>
        <v/>
      </c>
      <c r="F26" s="10">
        <f>SUM(B26:E26)</f>
        <v/>
      </c>
    </row>
    <row r="27">
      <c r="A27" s="10" t="inlineStr">
        <is>
          <t>同款批次一致性</t>
        </is>
      </c>
      <c r="B27" s="10">
        <f>SUMPRODUCT(--ISNUMBER(SEARCH("同款批次一致性",'01_打标明细'!$J$2:$J$95)),--('01_打标明细'!$E$2:$E$95="标准款-1.8mm"))</f>
        <v/>
      </c>
      <c r="C27" s="10">
        <f>SUMPRODUCT(--ISNUMBER(SEARCH("同款批次一致性",'01_打标明细'!$J$2:$J$95)),--('01_打标明细'!$E$2:$E$95="标准款-2.5mm"))</f>
        <v/>
      </c>
      <c r="D27" s="10">
        <f>SUMPRODUCT(--ISNUMBER(SEARCH("同款批次一致性",'01_打标明细'!$J$2:$J$95)),--('01_打标明细'!$E$2:$E$95="大号款-1.8mm"))</f>
        <v/>
      </c>
      <c r="E27" s="10">
        <f>SUMPRODUCT(--ISNUMBER(SEARCH("同款批次一致性",'01_打标明细'!$J$2:$J$95)),--('01_打标明细'!$E$2:$E$95="大号款-2.5mm"))</f>
        <v/>
      </c>
      <c r="F27" s="10">
        <f>SUM(B27:E27)</f>
        <v/>
      </c>
    </row>
    <row r="28">
      <c r="A28" s="10" t="inlineStr">
        <is>
          <t>重复下单</t>
        </is>
      </c>
      <c r="B28" s="10">
        <f>SUMPRODUCT(--ISNUMBER(SEARCH("重复下单",'01_打标明细'!$J$2:$J$95)),--('01_打标明细'!$E$2:$E$95="标准款-1.8mm"))</f>
        <v/>
      </c>
      <c r="C28" s="10">
        <f>SUMPRODUCT(--ISNUMBER(SEARCH("重复下单",'01_打标明细'!$J$2:$J$95)),--('01_打标明细'!$E$2:$E$95="标准款-2.5mm"))</f>
        <v/>
      </c>
      <c r="D28" s="10">
        <f>SUMPRODUCT(--ISNUMBER(SEARCH("重复下单",'01_打标明细'!$J$2:$J$95)),--('01_打标明细'!$E$2:$E$95="大号款-1.8mm"))</f>
        <v/>
      </c>
      <c r="E28" s="10">
        <f>SUMPRODUCT(--ISNUMBER(SEARCH("重复下单",'01_打标明细'!$J$2:$J$95)),--('01_打标明细'!$E$2:$E$95="大号款-2.5mm"))</f>
        <v/>
      </c>
      <c r="F28" s="10">
        <f>SUM(B28:E28)</f>
        <v/>
      </c>
    </row>
    <row r="29">
      <c r="A29" s="10" t="inlineStr">
        <is>
          <t>充电盒相关(没说清)</t>
        </is>
      </c>
      <c r="B29" s="10">
        <f>SUMPRODUCT(--ISNUMBER(SEARCH("充电盒相关(没说清)",'01_打标明细'!$J$2:$J$95)),--('01_打标明细'!$E$2:$E$95="标准款-1.8mm"))</f>
        <v/>
      </c>
      <c r="C29" s="10">
        <f>SUMPRODUCT(--ISNUMBER(SEARCH("充电盒相关(没说清)",'01_打标明细'!$J$2:$J$95)),--('01_打标明细'!$E$2:$E$95="标准款-2.5mm"))</f>
        <v/>
      </c>
      <c r="D29" s="10">
        <f>SUMPRODUCT(--ISNUMBER(SEARCH("充电盒相关(没说清)",'01_打标明细'!$J$2:$J$95)),--('01_打标明细'!$E$2:$E$95="大号款-1.8mm"))</f>
        <v/>
      </c>
      <c r="E29" s="10">
        <f>SUMPRODUCT(--ISNUMBER(SEARCH("充电盒相关(没说清)",'01_打标明细'!$J$2:$J$95)),--('01_打标明细'!$E$2:$E$95="大号款-2.5mm"))</f>
        <v/>
      </c>
      <c r="F29" s="10">
        <f>SUM(B29:E29)</f>
        <v/>
      </c>
    </row>
    <row r="30">
      <c r="A30" s="10" t="inlineStr">
        <is>
          <t>新旧状态</t>
        </is>
      </c>
      <c r="B30" s="10">
        <f>SUMPRODUCT(--ISNUMBER(SEARCH("新旧状态",'01_打标明细'!$J$2:$J$95)),--('01_打标明细'!$E$2:$E$95="标准款-1.8mm"))</f>
        <v/>
      </c>
      <c r="C30" s="10">
        <f>SUMPRODUCT(--ISNUMBER(SEARCH("新旧状态",'01_打标明细'!$J$2:$J$95)),--('01_打标明细'!$E$2:$E$95="标准款-2.5mm"))</f>
        <v/>
      </c>
      <c r="D30" s="10">
        <f>SUMPRODUCT(--ISNUMBER(SEARCH("新旧状态",'01_打标明细'!$J$2:$J$95)),--('01_打标明细'!$E$2:$E$95="大号款-1.8mm"))</f>
        <v/>
      </c>
      <c r="E30" s="10">
        <f>SUMPRODUCT(--ISNUMBER(SEARCH("新旧状态",'01_打标明细'!$J$2:$J$95)),--('01_打标明细'!$E$2:$E$95="大号款-2.5mm"))</f>
        <v/>
      </c>
      <c r="F30" s="10">
        <f>SUM(B30:E30)</f>
        <v/>
      </c>
    </row>
    <row r="31">
      <c r="A31" s="7" t="inlineStr">
        <is>
          <t>这个规格的原话总数（大盘）</t>
        </is>
      </c>
      <c r="B31" s="7">
        <f>COUNTIF('01_打标明细'!$E$2:$E$95,"标准款-1.8mm")</f>
        <v/>
      </c>
      <c r="C31" s="7">
        <f>COUNTIF('01_打标明细'!$E$2:$E$95,"标准款-2.5mm")</f>
        <v/>
      </c>
      <c r="D31" s="7">
        <f>COUNTIF('01_打标明细'!$E$2:$E$95,"大号款-1.8mm")</f>
        <v/>
      </c>
      <c r="E31" s="7">
        <f>COUNTIF('01_打标明细'!$E$2:$E$95,"大号款-2.5mm")</f>
        <v/>
      </c>
      <c r="F31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该谁改 × 平台原因码（看平台记的原因，和读出来的真实原因差多远）</t>
        </is>
      </c>
    </row>
    <row r="3" ht="42" customHeight="1">
      <c r="A3" s="4" t="inlineStr">
        <is>
          <t>该谁改</t>
        </is>
      </c>
      <c r="B3" s="20" t="inlineStr">
        <is>
          <t>与描述不符
NOT_AS_DESCRIBED</t>
        </is>
      </c>
      <c r="C3" s="20" t="inlineStr">
        <is>
          <t>有缺陷
DEFECTIVE</t>
        </is>
      </c>
      <c r="D3" s="20" t="inlineStr">
        <is>
          <t>质量不满意
QUALITY_UNACCEPTABLE</t>
        </is>
      </c>
      <c r="E3" s="20" t="inlineStr">
        <is>
          <t>不兼容
NOT_COMPATIBLE</t>
        </is>
      </c>
      <c r="F3" s="20" t="inlineStr">
        <is>
          <t>买家选错商品
ORDERED_WRONG_ITEM</t>
        </is>
      </c>
      <c r="G3" s="20" t="inlineStr">
        <is>
          <t>下错单
MISORDERED</t>
        </is>
      </c>
      <c r="H3" s="20" t="inlineStr">
        <is>
          <t>合计</t>
        </is>
      </c>
    </row>
    <row r="4">
      <c r="A4" s="10" t="inlineStr">
        <is>
          <t>产品的事</t>
        </is>
      </c>
      <c r="B4" s="10">
        <f>SUMPRODUCT(--('01_打标明细'!$N$2:$N$95="产品的事"),--('01_打标明细'!$G$2:$G$95="NOT_AS_DESCRIBED"))</f>
        <v/>
      </c>
      <c r="C4" s="10">
        <f>SUMPRODUCT(--('01_打标明细'!$N$2:$N$95="产品的事"),--('01_打标明细'!$G$2:$G$95="DEFECTIVE"))</f>
        <v/>
      </c>
      <c r="D4" s="10">
        <f>SUMPRODUCT(--('01_打标明细'!$N$2:$N$95="产品的事"),--('01_打标明细'!$G$2:$G$95="QUALITY_UNACCEPTABLE"))</f>
        <v/>
      </c>
      <c r="E4" s="10">
        <f>SUMPRODUCT(--('01_打标明细'!$N$2:$N$95="产品的事"),--('01_打标明细'!$G$2:$G$95="NOT_COMPATIBLE"))</f>
        <v/>
      </c>
      <c r="F4" s="10">
        <f>SUMPRODUCT(--('01_打标明细'!$N$2:$N$95="产品的事"),--('01_打标明细'!$G$2:$G$95="ORDERED_WRONG_ITEM"))</f>
        <v/>
      </c>
      <c r="G4" s="10">
        <f>SUMPRODUCT(--('01_打标明细'!$N$2:$N$95="产品的事"),--('01_打标明细'!$G$2:$G$95="MISORDERED"))</f>
        <v/>
      </c>
      <c r="H4" s="10">
        <f>SUM(B4:G4)</f>
        <v/>
      </c>
    </row>
    <row r="5">
      <c r="A5" s="10" t="inlineStr">
        <is>
          <t>页面的事</t>
        </is>
      </c>
      <c r="B5" s="10">
        <f>SUMPRODUCT(--('01_打标明细'!$N$2:$N$95="页面的事"),--('01_打标明细'!$G$2:$G$95="NOT_AS_DESCRIBED"))</f>
        <v/>
      </c>
      <c r="C5" s="10">
        <f>SUMPRODUCT(--('01_打标明细'!$N$2:$N$95="页面的事"),--('01_打标明细'!$G$2:$G$95="DEFECTIVE"))</f>
        <v/>
      </c>
      <c r="D5" s="10">
        <f>SUMPRODUCT(--('01_打标明细'!$N$2:$N$95="页面的事"),--('01_打标明细'!$G$2:$G$95="QUALITY_UNACCEPTABLE"))</f>
        <v/>
      </c>
      <c r="E5" s="10">
        <f>SUMPRODUCT(--('01_打标明细'!$N$2:$N$95="页面的事"),--('01_打标明细'!$G$2:$G$95="NOT_COMPATIBLE"))</f>
        <v/>
      </c>
      <c r="F5" s="10">
        <f>SUMPRODUCT(--('01_打标明细'!$N$2:$N$95="页面的事"),--('01_打标明细'!$G$2:$G$95="ORDERED_WRONG_ITEM"))</f>
        <v/>
      </c>
      <c r="G5" s="10">
        <f>SUMPRODUCT(--('01_打标明细'!$N$2:$N$95="页面的事"),--('01_打标明细'!$G$2:$G$95="MISORDERED"))</f>
        <v/>
      </c>
      <c r="H5" s="10">
        <f>SUM(B5:G5)</f>
        <v/>
      </c>
    </row>
    <row r="6">
      <c r="A6" s="10" t="inlineStr">
        <is>
          <t>客户自己选错</t>
        </is>
      </c>
      <c r="B6" s="10">
        <f>SUMPRODUCT(--('01_打标明细'!$N$2:$N$95="客户自己选错"),--('01_打标明细'!$G$2:$G$95="NOT_AS_DESCRIBED"))</f>
        <v/>
      </c>
      <c r="C6" s="10">
        <f>SUMPRODUCT(--('01_打标明细'!$N$2:$N$95="客户自己选错"),--('01_打标明细'!$G$2:$G$95="DEFECTIVE"))</f>
        <v/>
      </c>
      <c r="D6" s="10">
        <f>SUMPRODUCT(--('01_打标明细'!$N$2:$N$95="客户自己选错"),--('01_打标明细'!$G$2:$G$95="QUALITY_UNACCEPTABLE"))</f>
        <v/>
      </c>
      <c r="E6" s="10">
        <f>SUMPRODUCT(--('01_打标明细'!$N$2:$N$95="客户自己选错"),--('01_打标明细'!$G$2:$G$95="NOT_COMPATIBLE"))</f>
        <v/>
      </c>
      <c r="F6" s="10">
        <f>SUMPRODUCT(--('01_打标明细'!$N$2:$N$95="客户自己选错"),--('01_打标明细'!$G$2:$G$95="ORDERED_WRONG_ITEM"))</f>
        <v/>
      </c>
      <c r="G6" s="10">
        <f>SUMPRODUCT(--('01_打标明细'!$N$2:$N$95="客户自己选错"),--('01_打标明细'!$G$2:$G$95="MISORDERED"))</f>
        <v/>
      </c>
      <c r="H6" s="10">
        <f>SUM(B6:G6)</f>
        <v/>
      </c>
    </row>
    <row r="7">
      <c r="A7" s="10" t="inlineStr">
        <is>
          <t>不该买这款</t>
        </is>
      </c>
      <c r="B7" s="10">
        <f>SUMPRODUCT(--('01_打标明细'!$N$2:$N$95="不该买这款"),--('01_打标明细'!$G$2:$G$95="NOT_AS_DESCRIBED"))</f>
        <v/>
      </c>
      <c r="C7" s="10">
        <f>SUMPRODUCT(--('01_打标明细'!$N$2:$N$95="不该买这款"),--('01_打标明细'!$G$2:$G$95="DEFECTIVE"))</f>
        <v/>
      </c>
      <c r="D7" s="10">
        <f>SUMPRODUCT(--('01_打标明细'!$N$2:$N$95="不该买这款"),--('01_打标明细'!$G$2:$G$95="QUALITY_UNACCEPTABLE"))</f>
        <v/>
      </c>
      <c r="E7" s="10">
        <f>SUMPRODUCT(--('01_打标明细'!$N$2:$N$95="不该买这款"),--('01_打标明细'!$G$2:$G$95="NOT_COMPATIBLE"))</f>
        <v/>
      </c>
      <c r="F7" s="10">
        <f>SUMPRODUCT(--('01_打标明细'!$N$2:$N$95="不该买这款"),--('01_打标明细'!$G$2:$G$95="ORDERED_WRONG_ITEM"))</f>
        <v/>
      </c>
      <c r="G7" s="10">
        <f>SUMPRODUCT(--('01_打标明细'!$N$2:$N$95="不该买这款"),--('01_打标明细'!$G$2:$G$95="MISORDERED"))</f>
        <v/>
      </c>
      <c r="H7" s="10">
        <f>SUM(B7:G7)</f>
        <v/>
      </c>
    </row>
    <row r="8">
      <c r="A8" s="10" t="inlineStr">
        <is>
          <t>说不清</t>
        </is>
      </c>
      <c r="B8" s="10">
        <f>SUMPRODUCT(--('01_打标明细'!$N$2:$N$95="说不清"),--('01_打标明细'!$G$2:$G$95="NOT_AS_DESCRIBED"))</f>
        <v/>
      </c>
      <c r="C8" s="10">
        <f>SUMPRODUCT(--('01_打标明细'!$N$2:$N$95="说不清"),--('01_打标明细'!$G$2:$G$95="DEFECTIVE"))</f>
        <v/>
      </c>
      <c r="D8" s="10">
        <f>SUMPRODUCT(--('01_打标明细'!$N$2:$N$95="说不清"),--('01_打标明细'!$G$2:$G$95="QUALITY_UNACCEPTABLE"))</f>
        <v/>
      </c>
      <c r="E8" s="10">
        <f>SUMPRODUCT(--('01_打标明细'!$N$2:$N$95="说不清"),--('01_打标明细'!$G$2:$G$95="NOT_COMPATIBLE"))</f>
        <v/>
      </c>
      <c r="F8" s="10">
        <f>SUMPRODUCT(--('01_打标明细'!$N$2:$N$95="说不清"),--('01_打标明细'!$G$2:$G$95="ORDERED_WRONG_ITEM"))</f>
        <v/>
      </c>
      <c r="G8" s="10">
        <f>SUMPRODUCT(--('01_打标明细'!$N$2:$N$95="说不清"),--('01_打标明细'!$G$2:$G$95="MISORDERED"))</f>
        <v/>
      </c>
      <c r="H8" s="10">
        <f>SUM(B8:G8)</f>
        <v/>
      </c>
    </row>
    <row r="9">
      <c r="A9" s="10" t="inlineStr">
        <is>
          <t>其他</t>
        </is>
      </c>
      <c r="B9" s="10">
        <f>SUMPRODUCT(--('01_打标明细'!$N$2:$N$95="其他"),--('01_打标明细'!$G$2:$G$95="NOT_AS_DESCRIBED"))</f>
        <v/>
      </c>
      <c r="C9" s="10">
        <f>SUMPRODUCT(--('01_打标明细'!$N$2:$N$95="其他"),--('01_打标明细'!$G$2:$G$95="DEFECTIVE"))</f>
        <v/>
      </c>
      <c r="D9" s="10">
        <f>SUMPRODUCT(--('01_打标明细'!$N$2:$N$95="其他"),--('01_打标明细'!$G$2:$G$95="QUALITY_UNACCEPTABLE"))</f>
        <v/>
      </c>
      <c r="E9" s="10">
        <f>SUMPRODUCT(--('01_打标明细'!$N$2:$N$95="其他"),--('01_打标明细'!$G$2:$G$95="NOT_COMPATIBLE"))</f>
        <v/>
      </c>
      <c r="F9" s="10">
        <f>SUMPRODUCT(--('01_打标明细'!$N$2:$N$95="其他"),--('01_打标明细'!$G$2:$G$95="ORDERED_WRONG_ITEM"))</f>
        <v/>
      </c>
      <c r="G9" s="10">
        <f>SUMPRODUCT(--('01_打标明细'!$N$2:$N$95="其他"),--('01_打标明细'!$G$2:$G$95="MISORDERED"))</f>
        <v/>
      </c>
      <c r="H9" s="10">
        <f>SUM(B9:G9)</f>
        <v/>
      </c>
    </row>
    <row r="10">
      <c r="A10" s="7" t="inlineStr">
        <is>
          <t>合计</t>
        </is>
      </c>
      <c r="B10" s="7">
        <f>COUNTIF('01_打标明细'!$G$2:$G$95,"NOT_AS_DESCRIBED")</f>
        <v/>
      </c>
      <c r="C10" s="7">
        <f>COUNTIF('01_打标明细'!$G$2:$G$95,"DEFECTIVE")</f>
        <v/>
      </c>
      <c r="D10" s="7">
        <f>COUNTIF('01_打标明细'!$G$2:$G$95,"QUALITY_UNACCEPTABLE")</f>
        <v/>
      </c>
      <c r="E10" s="7">
        <f>COUNTIF('01_打标明细'!$G$2:$G$95,"NOT_COMPATIBLE")</f>
        <v/>
      </c>
      <c r="F10" s="7">
        <f>COUNTIF('01_打标明细'!$G$2:$G$95,"ORDERED_WRONG_ITEM")</f>
        <v/>
      </c>
      <c r="G10" s="7">
        <f>COUNTIF('01_打标明细'!$G$2:$G$95,"MISORDERED")</f>
        <v/>
      </c>
      <c r="H10" s="7">
        <f>SUM(B10:G10)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6" customWidth="1" min="4" max="4"/>
    <col width="10" customWidth="1" min="5" max="5"/>
    <col width="12" customWidth="1" min="6" max="6"/>
    <col width="14" customWidth="1" min="7" max="7"/>
  </cols>
  <sheetData>
    <row r="1">
      <c r="A1" s="6" t="inlineStr">
        <is>
          <t>平台原因码的大盘（客户在下拉框里随手选的，只作参考，不拿来判该谁改）</t>
        </is>
      </c>
    </row>
    <row r="3">
      <c r="A3" s="4" t="inlineStr">
        <is>
          <t>原因码</t>
        </is>
      </c>
      <c r="B3" s="4" t="inlineStr">
        <is>
          <t>中文</t>
        </is>
      </c>
      <c r="C3" s="4" t="inlineStr">
        <is>
          <t>条数</t>
        </is>
      </c>
      <c r="D3" s="4" t="inlineStr">
        <is>
          <t>占本次范围</t>
        </is>
      </c>
      <c r="E3" s="4" t="inlineStr">
        <is>
          <t>处理</t>
        </is>
      </c>
    </row>
    <row r="4">
      <c r="A4" s="10" t="inlineStr">
        <is>
          <t>NOT_AS_DESCRIBED</t>
        </is>
      </c>
      <c r="B4" s="10" t="inlineStr">
        <is>
          <t>与描述不符</t>
        </is>
      </c>
      <c r="C4" s="10" t="n">
        <v>89</v>
      </c>
      <c r="D4" s="12" t="n">
        <v>0.2493</v>
      </c>
      <c r="E4" s="10" t="inlineStr">
        <is>
          <t>留</t>
        </is>
      </c>
    </row>
    <row r="5">
      <c r="A5" s="10" t="inlineStr">
        <is>
          <t>NOT_COMPATIBLE</t>
        </is>
      </c>
      <c r="B5" s="10" t="inlineStr">
        <is>
          <t>不兼容</t>
        </is>
      </c>
      <c r="C5" s="10" t="n">
        <v>64</v>
      </c>
      <c r="D5" s="12" t="n">
        <v>0.1793</v>
      </c>
      <c r="E5" s="10" t="inlineStr">
        <is>
          <t>留</t>
        </is>
      </c>
    </row>
    <row r="6">
      <c r="A6" s="10" t="inlineStr">
        <is>
          <t>DEFECTIVE</t>
        </is>
      </c>
      <c r="B6" s="10" t="inlineStr">
        <is>
          <t>有缺陷</t>
        </is>
      </c>
      <c r="C6" s="10" t="n">
        <v>61</v>
      </c>
      <c r="D6" s="12" t="n">
        <v>0.1709</v>
      </c>
      <c r="E6" s="10" t="inlineStr">
        <is>
          <t>留</t>
        </is>
      </c>
    </row>
    <row r="7">
      <c r="A7" s="10" t="inlineStr">
        <is>
          <t>QUALITY_UNACCEPTABLE</t>
        </is>
      </c>
      <c r="B7" s="10" t="inlineStr">
        <is>
          <t>质量不满意</t>
        </is>
      </c>
      <c r="C7" s="10" t="n">
        <v>38</v>
      </c>
      <c r="D7" s="12" t="n">
        <v>0.1064</v>
      </c>
      <c r="E7" s="10" t="inlineStr">
        <is>
          <t>留</t>
        </is>
      </c>
    </row>
    <row r="8">
      <c r="A8" s="10" t="inlineStr">
        <is>
          <t>UNWANTED_ITEM</t>
        </is>
      </c>
      <c r="B8" s="10" t="inlineStr">
        <is>
          <t>不再需要</t>
        </is>
      </c>
      <c r="C8" s="10" t="n">
        <v>29</v>
      </c>
      <c r="D8" s="12" t="n">
        <v>0.08119999999999999</v>
      </c>
      <c r="E8" s="10" t="inlineStr">
        <is>
          <t>剔</t>
        </is>
      </c>
    </row>
    <row r="9">
      <c r="A9" s="10" t="inlineStr">
        <is>
          <t>ORDERED_WRONG_ITEM</t>
        </is>
      </c>
      <c r="B9" s="10" t="inlineStr">
        <is>
          <t>买家选错商品</t>
        </is>
      </c>
      <c r="C9" s="10" t="n">
        <v>22</v>
      </c>
      <c r="D9" s="12" t="n">
        <v>0.0616</v>
      </c>
      <c r="E9" s="10" t="inlineStr">
        <is>
          <t>留</t>
        </is>
      </c>
    </row>
    <row r="10">
      <c r="A10" s="10" t="inlineStr">
        <is>
          <t>NO_REASON_GIVEN</t>
        </is>
      </c>
      <c r="B10" s="10" t="inlineStr">
        <is>
          <t>未提供原因</t>
        </is>
      </c>
      <c r="C10" s="10" t="n">
        <v>15</v>
      </c>
      <c r="D10" s="12" t="n">
        <v>0.042</v>
      </c>
      <c r="E10" s="10" t="inlineStr">
        <is>
          <t>剔</t>
        </is>
      </c>
    </row>
    <row r="11">
      <c r="A11" s="10" t="inlineStr">
        <is>
          <t>MISORDERED</t>
        </is>
      </c>
      <c r="B11" s="10" t="inlineStr">
        <is>
          <t>下错单</t>
        </is>
      </c>
      <c r="C11" s="10" t="n">
        <v>9</v>
      </c>
      <c r="D11" s="12" t="n">
        <v>0.0252</v>
      </c>
      <c r="E11" s="10" t="inlineStr">
        <is>
          <t>留</t>
        </is>
      </c>
    </row>
    <row r="12">
      <c r="A12" s="10" t="inlineStr">
        <is>
          <t>FOUND_BETTER_PRICE</t>
        </is>
      </c>
      <c r="B12" s="10" t="inlineStr">
        <is>
          <t>找到更便宜的</t>
        </is>
      </c>
      <c r="C12" s="10" t="n">
        <v>7</v>
      </c>
      <c r="D12" s="12" t="n">
        <v>0.0196</v>
      </c>
      <c r="E12" s="10" t="inlineStr">
        <is>
          <t>剔</t>
        </is>
      </c>
    </row>
    <row r="13">
      <c r="A13" s="10" t="inlineStr">
        <is>
          <t>DAMAGED_BY_FC</t>
        </is>
      </c>
      <c r="B13" s="10" t="inlineStr">
        <is>
          <t>运营中心损坏</t>
        </is>
      </c>
      <c r="C13" s="10" t="n">
        <v>7</v>
      </c>
      <c r="D13" s="12" t="n">
        <v>0.0196</v>
      </c>
      <c r="E13" s="10" t="inlineStr">
        <is>
          <t>剔</t>
        </is>
      </c>
    </row>
    <row r="14">
      <c r="A14" s="10" t="inlineStr">
        <is>
          <t>UNAUTHORIZED_PURCHASE</t>
        </is>
      </c>
      <c r="B14" s="10" t="inlineStr">
        <is>
          <t>未经授权购买</t>
        </is>
      </c>
      <c r="C14" s="10" t="n">
        <v>4</v>
      </c>
      <c r="D14" s="12" t="n">
        <v>0.0112</v>
      </c>
      <c r="E14" s="10" t="inlineStr">
        <is>
          <t>剔</t>
        </is>
      </c>
    </row>
    <row r="15">
      <c r="A15" s="10" t="inlineStr">
        <is>
          <t>UNDELIVERABLE_UNKNOWN</t>
        </is>
      </c>
      <c r="B15" s="10" t="inlineStr">
        <is>
          <t>无法投递</t>
        </is>
      </c>
      <c r="C15" s="10" t="n">
        <v>4</v>
      </c>
      <c r="D15" s="12" t="n">
        <v>0.0112</v>
      </c>
      <c r="E15" s="10" t="inlineStr">
        <is>
          <t>剔</t>
        </is>
      </c>
    </row>
    <row r="16">
      <c r="A16" s="10" t="inlineStr">
        <is>
          <t>MISSED_ESTIMATED_DELIVERY</t>
        </is>
      </c>
      <c r="B16" s="10" t="inlineStr">
        <is>
          <t>错过预计送达</t>
        </is>
      </c>
      <c r="C16" s="10" t="n">
        <v>2</v>
      </c>
      <c r="D16" s="12" t="n">
        <v>0.0056</v>
      </c>
      <c r="E16" s="10" t="inlineStr">
        <is>
          <t>剔</t>
        </is>
      </c>
    </row>
    <row r="17">
      <c r="A17" s="10" t="inlineStr">
        <is>
          <t>DAMAGED_BY_CARRIER</t>
        </is>
      </c>
      <c r="B17" s="10" t="inlineStr">
        <is>
          <t>承运商损坏</t>
        </is>
      </c>
      <c r="C17" s="10" t="n">
        <v>2</v>
      </c>
      <c r="D17" s="12" t="n">
        <v>0.0056</v>
      </c>
      <c r="E17" s="10" t="inlineStr">
        <is>
          <t>剔</t>
        </is>
      </c>
    </row>
    <row r="18">
      <c r="A18" s="10" t="inlineStr">
        <is>
          <t>SWITCHEROO</t>
        </is>
      </c>
      <c r="B18" s="10" t="inlineStr">
        <is>
          <t>疑似调包</t>
        </is>
      </c>
      <c r="C18" s="10" t="n">
        <v>2</v>
      </c>
      <c r="D18" s="12" t="n">
        <v>0.0056</v>
      </c>
      <c r="E18" s="10" t="inlineStr">
        <is>
          <t>剔</t>
        </is>
      </c>
    </row>
    <row r="19">
      <c r="A19" s="10" t="inlineStr">
        <is>
          <t>MISSING_PARTS</t>
        </is>
      </c>
      <c r="B19" s="10" t="inlineStr">
        <is>
          <t>缺少部件</t>
        </is>
      </c>
      <c r="C19" s="10" t="n">
        <v>2</v>
      </c>
      <c r="D19" s="12" t="n">
        <v>0.0056</v>
      </c>
      <c r="E19" s="10" t="inlineStr">
        <is>
          <t>剔</t>
        </is>
      </c>
    </row>
    <row r="22">
      <c r="A22" s="19" t="inlineStr">
        <is>
          <t>两头是否对称（整体一层，再到每一项）</t>
        </is>
      </c>
    </row>
    <row r="23">
      <c r="A23" s="4" t="inlineStr">
        <is>
          <t>哪一层 / 哪一项</t>
        </is>
      </c>
      <c r="B23" s="4" t="inlineStr">
        <is>
          <t>一头</t>
        </is>
      </c>
      <c r="C23" s="4" t="inlineStr">
        <is>
          <t>条数</t>
        </is>
      </c>
      <c r="D23" s="4" t="inlineStr">
        <is>
          <t>另一头</t>
        </is>
      </c>
      <c r="E23" s="4" t="inlineStr">
        <is>
          <t>条数</t>
        </is>
      </c>
      <c r="F23" s="4" t="inlineStr">
        <is>
          <t>差距(点)</t>
        </is>
      </c>
      <c r="G23" s="4" t="inlineStr">
        <is>
          <t>判定</t>
        </is>
      </c>
    </row>
    <row r="24">
      <c r="A24" s="10" t="inlineStr">
        <is>
          <t>整体高度·原话层</t>
        </is>
      </c>
      <c r="B24" s="10" t="inlineStr">
        <is>
          <t>偏高</t>
        </is>
      </c>
      <c r="C24" s="10" t="n">
        <v>15</v>
      </c>
      <c r="D24" s="10" t="inlineStr">
        <is>
          <t>偏矮</t>
        </is>
      </c>
      <c r="E24" s="10" t="n">
        <v>16</v>
      </c>
      <c r="F24" s="10" t="n">
        <v>3.2</v>
      </c>
      <c r="G24" s="10" t="inlineStr">
        <is>
          <t>正常</t>
        </is>
      </c>
    </row>
    <row r="25">
      <c r="A25" s="10" t="inlineStr">
        <is>
          <t>逐项·宽度与覆盖</t>
        </is>
      </c>
      <c r="B25" s="10" t="inlineStr">
        <is>
          <t>偏宽</t>
        </is>
      </c>
      <c r="C25" s="10" t="n">
        <v>9</v>
      </c>
      <c r="D25" s="10" t="inlineStr">
        <is>
          <t>偏窄</t>
        </is>
      </c>
      <c r="E25" s="10" t="n">
        <v>0</v>
      </c>
      <c r="F25" s="10" t="n">
        <v>100</v>
      </c>
      <c r="G25" s="10" t="inlineStr">
        <is>
          <t>一边倒</t>
        </is>
      </c>
    </row>
    <row r="26">
      <c r="A26" s="10" t="inlineStr">
        <is>
          <t>逐项·硅胶软硬</t>
        </is>
      </c>
      <c r="B26" s="10" t="inlineStr">
        <is>
          <t>偏硬</t>
        </is>
      </c>
      <c r="C26" s="10" t="n">
        <v>3</v>
      </c>
      <c r="D26" s="10" t="inlineStr">
        <is>
          <t>偏软</t>
        </is>
      </c>
      <c r="E26" s="10" t="n">
        <v>1</v>
      </c>
      <c r="F26" s="10" t="n">
        <v>50</v>
      </c>
      <c r="G26" s="10" t="inlineStr">
        <is>
          <t>样本少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2026-09-21T16:44:40Z</dcterms:created>
  <dcterms:modified xmlns:dcterms="http://purl.org/dc/terms/" xmlns:xsi="http://www.w3.org/2001/XMLSchema-instance" xsi:type="dcterms:W3CDTF">2026-09-21T16:44:40Z</dcterms:modified>
</cp:coreProperties>
</file>